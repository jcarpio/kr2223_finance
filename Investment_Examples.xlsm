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3" codeName="{8C4F1C90-05EB-6A55-5F09-09C24B55AC0B}"/>
  <workbookPr codeName="ThisWorkbook" defaultThemeVersion="124226"/>
  <bookViews>
    <workbookView xWindow="360" yWindow="285" windowWidth="11100" windowHeight="6090" activeTab="2"/>
  </bookViews>
  <sheets>
    <sheet name="Summary" sheetId="1" r:id="rId1"/>
    <sheet name="Theory" sheetId="2" r:id="rId2"/>
    <sheet name="Markowitz" sheetId="3" r:id="rId3"/>
    <sheet name="Full Markowitz" sheetId="4" r:id="rId4"/>
    <sheet name="Efficient Frontier" sheetId="5" r:id="rId5"/>
    <sheet name="Sharpe" sheetId="6" r:id="rId6"/>
    <sheet name="Bond1" sheetId="7" r:id="rId7"/>
    <sheet name="Bond2" sheetId="8" r:id="rId8"/>
    <sheet name="Bond3" sheetId="9" r:id="rId9"/>
    <sheet name="Bond4" sheetId="10" r:id="rId10"/>
  </sheets>
  <definedNames>
    <definedName name="_A">#REF!</definedName>
    <definedName name="_AX">#REF!</definedName>
    <definedName name="_B">#REF!</definedName>
    <definedName name="_C">#REF!</definedName>
    <definedName name="_CX">#REF!</definedName>
    <definedName name="_scenchg_count" localSheetId="6" hidden="1">6</definedName>
    <definedName name="_scenchg_count" localSheetId="7" hidden="1">6</definedName>
    <definedName name="_scenchg_count" localSheetId="9" hidden="1">5</definedName>
    <definedName name="_scenchg_count" localSheetId="5" hidden="1">5</definedName>
    <definedName name="_scenchg1" localSheetId="6" hidden="1">Bond1!$B$6</definedName>
    <definedName name="_scenchg1" localSheetId="7" hidden="1">Bond2!$B$7</definedName>
    <definedName name="_scenchg1" localSheetId="9" hidden="1">Bond4!$B$14</definedName>
    <definedName name="_scenchg1" localSheetId="5" hidden="1">Sharpe!$B$6</definedName>
    <definedName name="_scenchg2" localSheetId="6" hidden="1">Bond1!$C$6</definedName>
    <definedName name="_scenchg2" localSheetId="7" hidden="1">Bond2!$C$7</definedName>
    <definedName name="_scenchg2" localSheetId="9" hidden="1">Bond4!$C$14</definedName>
    <definedName name="_scenchg2" localSheetId="5" hidden="1">Sharpe!$C$6</definedName>
    <definedName name="_scenchg3" localSheetId="6" hidden="1">Bond1!$D$6</definedName>
    <definedName name="_scenchg3" localSheetId="7" hidden="1">Bond2!$D$7</definedName>
    <definedName name="_scenchg3" localSheetId="9" hidden="1">Bond4!$D$14</definedName>
    <definedName name="_scenchg3" localSheetId="5" hidden="1">Sharpe!$D$6</definedName>
    <definedName name="_scenchg4" localSheetId="6" hidden="1">Bond1!$E$6</definedName>
    <definedName name="_scenchg4" localSheetId="7" hidden="1">Bond2!$E$7</definedName>
    <definedName name="_scenchg4" localSheetId="9" hidden="1">Bond4!$E$14</definedName>
    <definedName name="_scenchg4" localSheetId="5" hidden="1">Sharpe!$E$6</definedName>
    <definedName name="_scenchg5" localSheetId="6" hidden="1">Bond1!$F$6</definedName>
    <definedName name="_scenchg5" localSheetId="7" hidden="1">Bond2!$F$7</definedName>
    <definedName name="_scenchg5" localSheetId="9" hidden="1">Bond4!$F$14</definedName>
    <definedName name="_scenchg5" localSheetId="5" hidden="1">Sharpe!$F$6</definedName>
    <definedName name="_scenchg6" localSheetId="6" hidden="1">Bond1!$G$6</definedName>
    <definedName name="_scenchg6" localSheetId="7" hidden="1">Bond2!$G$7</definedName>
    <definedName name="_X">#REF!</definedName>
    <definedName name="Allocations">Markowitz!$B$6:$F$6</definedName>
    <definedName name="Cash_flow" localSheetId="9">Bond4!$H$17:$H$22</definedName>
    <definedName name="Cash_flow">Bond3!$H$17:$H$22</definedName>
    <definedName name="Desired">'Efficient Frontier'!$I$18</definedName>
    <definedName name="Liabilities" localSheetId="9">Bond4!$J$17:$J$22</definedName>
    <definedName name="Liabilities">Bond3!$J$17:$J$22</definedName>
    <definedName name="lssolver_est" localSheetId="6" hidden="1">1</definedName>
    <definedName name="lssolver_est" localSheetId="4" hidden="1">2</definedName>
    <definedName name="lssolver_est" localSheetId="2" hidden="1">2</definedName>
    <definedName name="lssolver_itr" localSheetId="6" hidden="1">100</definedName>
    <definedName name="lssolver_itr" localSheetId="4" hidden="1">1000</definedName>
    <definedName name="lssolver_itr" localSheetId="2" hidden="1">0</definedName>
    <definedName name="lssolver_neg" localSheetId="6" hidden="1">1</definedName>
    <definedName name="lssolver_neg" localSheetId="4" hidden="1">0</definedName>
    <definedName name="lssolver_neg" localSheetId="2" hidden="1">0</definedName>
    <definedName name="lssolver_piv" localSheetId="6" hidden="1">0.000001</definedName>
    <definedName name="lssolver_piv" localSheetId="4" hidden="1">0.00000001</definedName>
    <definedName name="lssolver_piv" localSheetId="2" hidden="1">0</definedName>
    <definedName name="lssolver_pre" localSheetId="6" hidden="1">0.000001</definedName>
    <definedName name="lssolver_pre" localSheetId="4" hidden="1">0.00000001</definedName>
    <definedName name="lssolver_pre" localSheetId="2" hidden="1">0</definedName>
    <definedName name="lssolver_red" localSheetId="6" hidden="1">0.000001</definedName>
    <definedName name="lssolver_red" localSheetId="4" hidden="1">0.00000001</definedName>
    <definedName name="lssolver_red" localSheetId="2" hidden="1">0</definedName>
    <definedName name="lssolver_rep" localSheetId="6" hidden="1">2</definedName>
    <definedName name="lssolver_rep" localSheetId="4" hidden="1">2</definedName>
    <definedName name="lssolver_rep" localSheetId="2" hidden="1">2</definedName>
    <definedName name="lssolver_scl" localSheetId="6" hidden="1">0</definedName>
    <definedName name="lssolver_scl" localSheetId="4" hidden="1">2</definedName>
    <definedName name="lssolver_scl" localSheetId="2" hidden="1">0</definedName>
    <definedName name="lssolver_sho" localSheetId="6" hidden="1">2</definedName>
    <definedName name="lssolver_sho" localSheetId="4" hidden="1">2</definedName>
    <definedName name="lssolver_sho" localSheetId="2" hidden="1">2</definedName>
    <definedName name="lssolver_sol" localSheetId="6" hidden="1">0.0001</definedName>
    <definedName name="lssolver_sol" localSheetId="4" hidden="1">0.00000001</definedName>
    <definedName name="lssolver_sol" localSheetId="2" hidden="1">0</definedName>
    <definedName name="lssolver_tim" localSheetId="6" hidden="1">100</definedName>
    <definedName name="lssolver_tim" localSheetId="4" hidden="1">1000</definedName>
    <definedName name="lssolver_tim" localSheetId="2" hidden="1">0</definedName>
    <definedName name="lssolver_tol" localSheetId="6" hidden="1">0.05</definedName>
    <definedName name="lssolver_tol" localSheetId="4" hidden="1">0.00000005</definedName>
    <definedName name="lssolver_tol" localSheetId="2" hidden="1">0</definedName>
    <definedName name="Portfolio_duration" localSheetId="7">Bond2!$G$15</definedName>
    <definedName name="Portfolio_duration">Bond1!$G$11</definedName>
    <definedName name="Portfolio_fractions" localSheetId="7">Bond2!$B$7:$G$7</definedName>
    <definedName name="Portfolio_fractions" localSheetId="4">'Efficient Frontier'!$B$6:$F$6</definedName>
    <definedName name="Portfolio_fractions" localSheetId="5">Sharpe!$B$6:$F$6</definedName>
    <definedName name="Portfolio_fractions">Bond1!$B$6:$G$6</definedName>
    <definedName name="Portfolio_Return">Markowitz!$I$16</definedName>
    <definedName name="Portfolio_total" localSheetId="7">Bond2!$I$7</definedName>
    <definedName name="Portfolio_total" localSheetId="4">'Efficient Frontier'!$H$6</definedName>
    <definedName name="Portfolio_total" localSheetId="5">Sharpe!$H$6</definedName>
    <definedName name="Portfolio_total">Bond1!$I$6</definedName>
    <definedName name="Portfolio_Variance">Markowitz!$I$14</definedName>
    <definedName name="Portfolio_yield" localSheetId="7">Bond2!$G$16</definedName>
    <definedName name="Portfolio_yield">Bond1!$G$12</definedName>
    <definedName name="Purchased_bonds" localSheetId="9">Bond4!$B$14:$F$14</definedName>
    <definedName name="Purchased_bonds">Bond3!$B$14:$F$14</definedName>
    <definedName name="qpsolver_itr" localSheetId="6" hidden="1">100</definedName>
    <definedName name="qpsolver_itr" localSheetId="4" hidden="1">1000</definedName>
    <definedName name="qpsolver_itr" localSheetId="2" hidden="1">1000</definedName>
    <definedName name="qpsolver_lin" localSheetId="6" hidden="1">1</definedName>
    <definedName name="qpsolver_lin" localSheetId="4" hidden="1">1</definedName>
    <definedName name="qpsolver_lin" localSheetId="2" hidden="1">1</definedName>
    <definedName name="qpsolver_neg" localSheetId="6" hidden="1">1</definedName>
    <definedName name="qpsolver_neg" localSheetId="4" hidden="1">0</definedName>
    <definedName name="qpsolver_neg" localSheetId="2" hidden="1">1</definedName>
    <definedName name="qpsolver_piv" localSheetId="6" hidden="1">0.000001</definedName>
    <definedName name="qpsolver_piv" localSheetId="4" hidden="1">0.00000001</definedName>
    <definedName name="qpsolver_piv" localSheetId="2" hidden="1">0.00000001</definedName>
    <definedName name="qpsolver_pre" localSheetId="6" hidden="1">0.000001</definedName>
    <definedName name="qpsolver_pre" localSheetId="4" hidden="1">0.00000001</definedName>
    <definedName name="qpsolver_pre" localSheetId="2" hidden="1">0.00000001</definedName>
    <definedName name="qpsolver_red" localSheetId="6" hidden="1">0.000001</definedName>
    <definedName name="qpsolver_red" localSheetId="4" hidden="1">0.00000001</definedName>
    <definedName name="qpsolver_red" localSheetId="2" hidden="1">0.00000001</definedName>
    <definedName name="qpsolver_rep" localSheetId="6" hidden="1">2</definedName>
    <definedName name="qpsolver_rep" localSheetId="4" hidden="1">2</definedName>
    <definedName name="qpsolver_rep" localSheetId="2" hidden="1">2</definedName>
    <definedName name="qpsolver_scl" localSheetId="6" hidden="1">2</definedName>
    <definedName name="qpsolver_scl" localSheetId="4" hidden="1">2</definedName>
    <definedName name="qpsolver_scl" localSheetId="2" hidden="1">2</definedName>
    <definedName name="qpsolver_sho" localSheetId="6" hidden="1">2</definedName>
    <definedName name="qpsolver_sho" localSheetId="4" hidden="1">2</definedName>
    <definedName name="qpsolver_sho" localSheetId="2" hidden="1">2</definedName>
    <definedName name="qpsolver_tim" localSheetId="6" hidden="1">100</definedName>
    <definedName name="qpsolver_tim" localSheetId="4" hidden="1">1000</definedName>
    <definedName name="qpsolver_tim" localSheetId="2" hidden="1">1000</definedName>
    <definedName name="qpsolver_tol" localSheetId="6" hidden="1">0.05</definedName>
    <definedName name="qpsolver_tol" localSheetId="4" hidden="1">0.00000005</definedName>
    <definedName name="qpsolver_tol" localSheetId="2" hidden="1">0.00000005</definedName>
    <definedName name="Return" localSheetId="4">'Efficient Frontier'!$I$19</definedName>
    <definedName name="Return">Sharpe!$H$14</definedName>
    <definedName name="scen_change" localSheetId="6" hidden="1">Bond1!$B$6:$G$6</definedName>
    <definedName name="scen_change" localSheetId="7" hidden="1">Bond2!$B$7:$G$7</definedName>
    <definedName name="scen_change" localSheetId="9" hidden="1">Bond4!$B$14:$F$14</definedName>
    <definedName name="scen_change" localSheetId="5" hidden="1">Sharpe!$B$6:$F$6</definedName>
    <definedName name="scen_result" localSheetId="6" hidden="1">Bond1!$I$6,Bond1!$G$11</definedName>
    <definedName name="scen_result" localSheetId="7" hidden="1">Bond2!$I$7,Bond2!$G$15</definedName>
    <definedName name="scen_result" localSheetId="9" hidden="1">Bond4!$H$17:$H$22</definedName>
    <definedName name="scen_result" localSheetId="5" hidden="1">Sharpe!$H$6,Sharpe!$H$12</definedName>
    <definedName name="solver_adj" localSheetId="6" hidden="1">Bond1!$B$6:$G$6</definedName>
    <definedName name="solver_adj" localSheetId="7" hidden="1">Bond2!$B$7:$G$7</definedName>
    <definedName name="solver_adj" localSheetId="8" hidden="1">Bond3!$B$14:$F$14</definedName>
    <definedName name="solver_adj" localSheetId="9" hidden="1">Bond4!$B$14:$F$14</definedName>
    <definedName name="solver_adj" localSheetId="4" hidden="1">'Efficient Frontier'!$B$6:$F$6</definedName>
    <definedName name="solver_adj" localSheetId="3" hidden="1">'Full Markowitz'!$B$6:$F$6</definedName>
    <definedName name="solver_adj" localSheetId="2" hidden="1">Markowitz!$B$6:$F$6</definedName>
    <definedName name="solver_adj" localSheetId="5" hidden="1">Sharpe!$B$6:$F$6</definedName>
    <definedName name="solver_cvg" localSheetId="8" hidden="1">0.001</definedName>
    <definedName name="solver_cvg" localSheetId="9" hidden="1">0.001</definedName>
    <definedName name="solver_cvg" localSheetId="4" hidden="1">0.001</definedName>
    <definedName name="solver_cvg" localSheetId="3" hidden="1">0.00001</definedName>
    <definedName name="solver_cvg" localSheetId="2" hidden="1">0.001</definedName>
    <definedName name="solver_cvg" localSheetId="5" hidden="1">0.0001</definedName>
    <definedName name="solver_drv" localSheetId="6" hidden="1">1</definedName>
    <definedName name="solver_drv" localSheetId="8" hidden="1">1</definedName>
    <definedName name="solver_drv" localSheetId="9" hidden="1">1</definedName>
    <definedName name="solver_drv" localSheetId="4" hidden="1">0</definedName>
    <definedName name="solver_drv" localSheetId="3" hidden="1">0</definedName>
    <definedName name="solver_drv" localSheetId="2" hidden="1">0</definedName>
    <definedName name="solver_drv" localSheetId="5" hidden="1">0</definedName>
    <definedName name="solver_eng" localSheetId="6" hidden="1">2</definedName>
    <definedName name="solver_eng" localSheetId="7" hidden="1">2</definedName>
    <definedName name="solver_eng" localSheetId="8" hidden="1">2</definedName>
    <definedName name="solver_eng" localSheetId="9" hidden="1">2</definedName>
    <definedName name="solver_eng" localSheetId="4" hidden="1">2</definedName>
    <definedName name="solver_eng" localSheetId="3" hidden="1">2</definedName>
    <definedName name="solver_eng" localSheetId="2" hidden="1">2</definedName>
    <definedName name="solver_eng" localSheetId="5" hidden="1">1</definedName>
    <definedName name="solver_est" localSheetId="6" hidden="1">1</definedName>
    <definedName name="solver_est" localSheetId="8" hidden="1">1</definedName>
    <definedName name="solver_est" localSheetId="9" hidden="1">1</definedName>
    <definedName name="solver_est" localSheetId="4" hidden="1">0</definedName>
    <definedName name="solver_est" localSheetId="3" hidden="1">0</definedName>
    <definedName name="solver_est" localSheetId="2" hidden="1">0</definedName>
    <definedName name="solver_est" localSheetId="5" hidden="1">0</definedName>
    <definedName name="solver_ibd" localSheetId="6" hidden="1">2</definedName>
    <definedName name="solver_ibd" localSheetId="4" hidden="1">2</definedName>
    <definedName name="solver_ibd" localSheetId="3" hidden="1">2</definedName>
    <definedName name="solver_ibd" localSheetId="2" hidden="1">2</definedName>
    <definedName name="solver_ibd" localSheetId="5" hidden="1">2</definedName>
    <definedName name="solver_itr" localSheetId="6" hidden="1">100</definedName>
    <definedName name="solver_itr" localSheetId="8" hidden="1">100</definedName>
    <definedName name="solver_itr" localSheetId="9" hidden="1">100</definedName>
    <definedName name="solver_itr" localSheetId="4" hidden="1">1000</definedName>
    <definedName name="solver_itr" localSheetId="3" hidden="1">1000</definedName>
    <definedName name="solver_itr" localSheetId="2" hidden="1">1000</definedName>
    <definedName name="solver_itr" localSheetId="5" hidden="1">1000</definedName>
    <definedName name="solver_lhs1" localSheetId="6" hidden="1">Bond1!$G$11</definedName>
    <definedName name="solver_lhs1" localSheetId="7" hidden="1">Bond2!$B$7:$G$7</definedName>
    <definedName name="solver_lhs1" localSheetId="8" hidden="1">Bond3!$B$14:$F$14</definedName>
    <definedName name="solver_lhs1" localSheetId="9" hidden="1">Bond4!$B$14:$F$14</definedName>
    <definedName name="solver_lhs1" localSheetId="4" hidden="1">'Efficient Frontier'!$B$6:$F$6</definedName>
    <definedName name="solver_lhs1" localSheetId="3" hidden="1">'Full Markowitz'!$B$6:$F$6</definedName>
    <definedName name="solver_lhs1" localSheetId="2" hidden="1">Markowitz!$I$16</definedName>
    <definedName name="solver_lhs1" localSheetId="5" hidden="1">Sharpe!$H$12</definedName>
    <definedName name="solver_lhs2" localSheetId="6" hidden="1">Bond1!$I$6</definedName>
    <definedName name="solver_lhs2" localSheetId="7" hidden="1">Bond2!$I$7</definedName>
    <definedName name="solver_lhs2" localSheetId="8" hidden="1">Bond3!$H$17:$H$22</definedName>
    <definedName name="solver_lhs2" localSheetId="9" hidden="1">Bond4!$H$17:$H$22</definedName>
    <definedName name="solver_lhs2" localSheetId="4" hidden="1">'Efficient Frontier'!$H$6</definedName>
    <definedName name="solver_lhs2" localSheetId="3" hidden="1">'Full Markowitz'!$H$6</definedName>
    <definedName name="solver_lhs2" localSheetId="2" hidden="1">Markowitz!$H$6</definedName>
    <definedName name="solver_lhs2" localSheetId="5" hidden="1">Sharpe!$H$6</definedName>
    <definedName name="solver_lhs3" localSheetId="6" hidden="1">Bond1!$G$11</definedName>
    <definedName name="solver_lhs3" localSheetId="7" hidden="1">Bond2!$G$15</definedName>
    <definedName name="solver_lhs3" localSheetId="8" hidden="1">Bond3!$B$14:$F$14</definedName>
    <definedName name="solver_lhs3" localSheetId="9" hidden="1">Bond4!$B$14:$F$14</definedName>
    <definedName name="solver_lhs3" localSheetId="4" hidden="1">'Efficient Frontier'!$I$19</definedName>
    <definedName name="solver_lhs3" localSheetId="3" hidden="1">'Full Markowitz'!$I$19</definedName>
    <definedName name="solver_lhs3" localSheetId="2" hidden="1">Markowitz!$I$16</definedName>
    <definedName name="solver_lhs3" localSheetId="5" hidden="1">Sharpe!$H$12</definedName>
    <definedName name="solver_lin" localSheetId="6" hidden="1">1</definedName>
    <definedName name="solver_lin" localSheetId="7" hidden="1">0</definedName>
    <definedName name="solver_lin" localSheetId="8" hidden="1">2</definedName>
    <definedName name="solver_lin" localSheetId="9" hidden="1">2</definedName>
    <definedName name="solver_lin" localSheetId="4" hidden="1">2</definedName>
    <definedName name="solver_lin" localSheetId="3" hidden="1">2</definedName>
    <definedName name="solver_lin" localSheetId="2" hidden="1">2</definedName>
    <definedName name="solver_lin" localSheetId="5" hidden="1">2</definedName>
    <definedName name="solver_lva" localSheetId="5" hidden="1">2</definedName>
    <definedName name="solver_mip" localSheetId="6" hidden="1">1000</definedName>
    <definedName name="solver_mip" localSheetId="4" hidden="1">1000</definedName>
    <definedName name="solver_mip" localSheetId="3" hidden="1">1000</definedName>
    <definedName name="solver_mip" localSheetId="2" hidden="1">1000</definedName>
    <definedName name="solver_mip" localSheetId="5" hidden="1">1000</definedName>
    <definedName name="solver_nam" localSheetId="3" hidden="1">1</definedName>
    <definedName name="solver_neg" localSheetId="6" hidden="1">1</definedName>
    <definedName name="solver_neg" localSheetId="8" hidden="1">1</definedName>
    <definedName name="solver_neg" localSheetId="9" hidden="1">1</definedName>
    <definedName name="solver_neg" localSheetId="4" hidden="1">2</definedName>
    <definedName name="solver_neg" localSheetId="3" hidden="1">2</definedName>
    <definedName name="solver_neg" localSheetId="2" hidden="1">1</definedName>
    <definedName name="solver_neg" localSheetId="5" hidden="1">1</definedName>
    <definedName name="solver_nod" localSheetId="6" hidden="1">1000</definedName>
    <definedName name="solver_nod" localSheetId="4" hidden="1">1000</definedName>
    <definedName name="solver_nod" localSheetId="3" hidden="1">1000</definedName>
    <definedName name="solver_nod" localSheetId="2" hidden="1">1000</definedName>
    <definedName name="solver_nod" localSheetId="5" hidden="1">1000</definedName>
    <definedName name="solver_num" localSheetId="6" hidden="1">2</definedName>
    <definedName name="solver_num" localSheetId="7" hidden="1">3</definedName>
    <definedName name="solver_num" localSheetId="8" hidden="1">2</definedName>
    <definedName name="solver_num" localSheetId="9" hidden="1">2</definedName>
    <definedName name="solver_num" localSheetId="4" hidden="1">3</definedName>
    <definedName name="solver_num" localSheetId="3" hidden="1">3</definedName>
    <definedName name="solver_num" localSheetId="2" hidden="1">2</definedName>
    <definedName name="solver_num" localSheetId="5" hidden="1">2</definedName>
    <definedName name="solver_nwt" localSheetId="6" hidden="1">1</definedName>
    <definedName name="solver_nwt" localSheetId="8" hidden="1">1</definedName>
    <definedName name="solver_nwt" localSheetId="9" hidden="1">1</definedName>
    <definedName name="solver_nwt" localSheetId="4" hidden="1">1</definedName>
    <definedName name="solver_nwt" localSheetId="3" hidden="1">1</definedName>
    <definedName name="solver_nwt" localSheetId="2" hidden="1">1</definedName>
    <definedName name="solver_nwt" localSheetId="5" hidden="1">0</definedName>
    <definedName name="solver_ofx" localSheetId="6" hidden="1">2</definedName>
    <definedName name="solver_ofx" localSheetId="4" hidden="1">2</definedName>
    <definedName name="solver_ofx" localSheetId="3" hidden="1">2</definedName>
    <definedName name="solver_ofx" localSheetId="2" hidden="1">2</definedName>
    <definedName name="solver_ofx" localSheetId="5" hidden="1">2</definedName>
    <definedName name="solver_opt" localSheetId="6" hidden="1">Bond1!$G$12</definedName>
    <definedName name="solver_opt" localSheetId="7" hidden="1">Bond2!$G$16</definedName>
    <definedName name="solver_opt" localSheetId="8" hidden="1">Bond3!$H$14</definedName>
    <definedName name="solver_opt" localSheetId="9" hidden="1">Bond4!$H$14</definedName>
    <definedName name="solver_opt" localSheetId="4" hidden="1">'Efficient Frontier'!$I$16</definedName>
    <definedName name="solver_opt" localSheetId="3" hidden="1">'Full Markowitz'!$I$17</definedName>
    <definedName name="solver_opt" localSheetId="2" hidden="1">Markowitz!$I$14</definedName>
    <definedName name="solver_opt" localSheetId="5" hidden="1">Sharpe!$H$14</definedName>
    <definedName name="solver_piv" localSheetId="6" hidden="1">0.000001</definedName>
    <definedName name="solver_piv" localSheetId="4" hidden="1">0.00000001</definedName>
    <definedName name="solver_piv" localSheetId="3" hidden="1">0.00000001</definedName>
    <definedName name="solver_piv" localSheetId="2" hidden="1">0.00000001</definedName>
    <definedName name="solver_pre" localSheetId="6" hidden="1">0.000001</definedName>
    <definedName name="solver_pre" localSheetId="8" hidden="1">0.000001</definedName>
    <definedName name="solver_pre" localSheetId="9" hidden="1">0.000001</definedName>
    <definedName name="solver_pre" localSheetId="4" hidden="1">0.00000001</definedName>
    <definedName name="solver_pre" localSheetId="3" hidden="1">0.00000001</definedName>
    <definedName name="solver_pre" localSheetId="2" hidden="1">0.00000001</definedName>
    <definedName name="solver_pre" localSheetId="5" hidden="1">0.000001</definedName>
    <definedName name="solver_pro" localSheetId="6" hidden="1">2</definedName>
    <definedName name="solver_pro" localSheetId="4" hidden="1">2</definedName>
    <definedName name="solver_pro" localSheetId="3" hidden="1">2</definedName>
    <definedName name="solver_pro" localSheetId="2" hidden="1">2</definedName>
    <definedName name="solver_pro" localSheetId="5" hidden="1">2</definedName>
    <definedName name="solver_red" localSheetId="6" hidden="1">0.000001</definedName>
    <definedName name="solver_red" localSheetId="4" hidden="1">0.00000001</definedName>
    <definedName name="solver_red" localSheetId="3" hidden="1">0.00000001</definedName>
    <definedName name="solver_red" localSheetId="2" hidden="1">0.00000001</definedName>
    <definedName name="solver_rel1" localSheetId="6" hidden="1">2</definedName>
    <definedName name="solver_rel1" localSheetId="7" hidden="1">3</definedName>
    <definedName name="solver_rel1" localSheetId="8" hidden="1">4</definedName>
    <definedName name="solver_rel1" localSheetId="9" hidden="1">4</definedName>
    <definedName name="solver_rel1" localSheetId="4" hidden="1">3</definedName>
    <definedName name="solver_rel1" localSheetId="3" hidden="1">3</definedName>
    <definedName name="solver_rel1" localSheetId="2" hidden="1">3</definedName>
    <definedName name="solver_rel1" localSheetId="5" hidden="1">1</definedName>
    <definedName name="solver_rel2" localSheetId="6" hidden="1">2</definedName>
    <definedName name="solver_rel2" localSheetId="7" hidden="1">2</definedName>
    <definedName name="solver_rel2" localSheetId="8" hidden="1">3</definedName>
    <definedName name="solver_rel2" localSheetId="9" hidden="1">3</definedName>
    <definedName name="solver_rel2" localSheetId="4" hidden="1">2</definedName>
    <definedName name="solver_rel2" localSheetId="3" hidden="1">2</definedName>
    <definedName name="solver_rel2" localSheetId="2" hidden="1">2</definedName>
    <definedName name="solver_rel2" localSheetId="5" hidden="1">2</definedName>
    <definedName name="solver_rel3" localSheetId="6" hidden="1">2</definedName>
    <definedName name="solver_rel3" localSheetId="7" hidden="1">2</definedName>
    <definedName name="solver_rel3" localSheetId="8" hidden="1">4</definedName>
    <definedName name="solver_rel3" localSheetId="9" hidden="1">4</definedName>
    <definedName name="solver_rel3" localSheetId="4" hidden="1">3</definedName>
    <definedName name="solver_rel3" localSheetId="3" hidden="1">3</definedName>
    <definedName name="solver_rel3" localSheetId="2" hidden="1">3</definedName>
    <definedName name="solver_rel3" localSheetId="5" hidden="1">1</definedName>
    <definedName name="solver_reo" localSheetId="6" hidden="1">2</definedName>
    <definedName name="solver_reo" localSheetId="4" hidden="1">2</definedName>
    <definedName name="solver_reo" localSheetId="3" hidden="1">2</definedName>
    <definedName name="solver_reo" localSheetId="2" hidden="1">2</definedName>
    <definedName name="solver_reo" localSheetId="5" hidden="1">2</definedName>
    <definedName name="solver_rep" localSheetId="6" hidden="1">2</definedName>
    <definedName name="solver_rep" localSheetId="4" hidden="1">2</definedName>
    <definedName name="solver_rep" localSheetId="3" hidden="1">2</definedName>
    <definedName name="solver_rep" localSheetId="2" hidden="1">2</definedName>
    <definedName name="solver_rep" localSheetId="5" hidden="1">2</definedName>
    <definedName name="solver_rhs1" localSheetId="6" hidden="1">Time_horizon</definedName>
    <definedName name="solver_rhs1" localSheetId="7" hidden="1">0</definedName>
    <definedName name="solver_rhs1" localSheetId="8" hidden="1">integer</definedName>
    <definedName name="solver_rhs1" localSheetId="9" hidden="1">integer</definedName>
    <definedName name="solver_rhs1" localSheetId="4" hidden="1">0</definedName>
    <definedName name="solver_rhs1" localSheetId="3" hidden="1">0</definedName>
    <definedName name="solver_rhs1" localSheetId="2" hidden="1">0.09</definedName>
    <definedName name="solver_rhs1" localSheetId="5" hidden="1">0.0003</definedName>
    <definedName name="solver_rhs2" localSheetId="6" hidden="1">1</definedName>
    <definedName name="solver_rhs2" localSheetId="7" hidden="1">1</definedName>
    <definedName name="solver_rhs2" localSheetId="8" hidden="1">Liabilities</definedName>
    <definedName name="solver_rhs2" localSheetId="9" hidden="1">Bond4!Liabilities</definedName>
    <definedName name="solver_rhs2" localSheetId="4" hidden="1">1</definedName>
    <definedName name="solver_rhs2" localSheetId="3" hidden="1">1</definedName>
    <definedName name="solver_rhs2" localSheetId="2" hidden="1">1</definedName>
    <definedName name="solver_rhs2" localSheetId="5" hidden="1">1</definedName>
    <definedName name="solver_rhs3" localSheetId="6" hidden="1">Time_horizon</definedName>
    <definedName name="solver_rhs3" localSheetId="7" hidden="1">Bond2!Time_horizon</definedName>
    <definedName name="solver_rhs3" localSheetId="8" hidden="1">integer</definedName>
    <definedName name="solver_rhs3" localSheetId="9" hidden="1">integer</definedName>
    <definedName name="solver_rhs3" localSheetId="4" hidden="1">Desired</definedName>
    <definedName name="solver_rhs3" localSheetId="3" hidden="1">0.09</definedName>
    <definedName name="solver_rhs3" localSheetId="2" hidden="1">0.09</definedName>
    <definedName name="solver_rhs3" localSheetId="5" hidden="1">0.0003</definedName>
    <definedName name="solver_rlx" localSheetId="6" hidden="1">2</definedName>
    <definedName name="solver_rlx" localSheetId="4" hidden="1">2</definedName>
    <definedName name="solver_rlx" localSheetId="3" hidden="1">2</definedName>
    <definedName name="solver_rlx" localSheetId="2" hidden="1">2</definedName>
    <definedName name="solver_rlx" localSheetId="5" hidden="1">2</definedName>
    <definedName name="solver_scl" localSheetId="6" hidden="1">2</definedName>
    <definedName name="solver_scl" localSheetId="8" hidden="1">2</definedName>
    <definedName name="solver_scl" localSheetId="9" hidden="1">2</definedName>
    <definedName name="solver_scl" localSheetId="4" hidden="1">2</definedName>
    <definedName name="solver_scl" localSheetId="3" hidden="1">1</definedName>
    <definedName name="solver_scl" localSheetId="2" hidden="1">2</definedName>
    <definedName name="solver_scl" localSheetId="5" hidden="1">2</definedName>
    <definedName name="solver_sho" localSheetId="6" hidden="1">2</definedName>
    <definedName name="solver_sho" localSheetId="8" hidden="1">2</definedName>
    <definedName name="solver_sho" localSheetId="9" hidden="1">2</definedName>
    <definedName name="solver_sho" localSheetId="4" hidden="1">2</definedName>
    <definedName name="solver_sho" localSheetId="3" hidden="1">2</definedName>
    <definedName name="solver_sho" localSheetId="2" hidden="1">2</definedName>
    <definedName name="solver_sho" localSheetId="5" hidden="1">2</definedName>
    <definedName name="solver_sim" localSheetId="4" hidden="1">1</definedName>
    <definedName name="solver_sol" localSheetId="4" hidden="1">0.00000001</definedName>
    <definedName name="solver_sol" localSheetId="3" hidden="1">0.00000001</definedName>
    <definedName name="solver_sol" localSheetId="2" hidden="1">0.00000001</definedName>
    <definedName name="solver_tim" localSheetId="6" hidden="1">100</definedName>
    <definedName name="solver_tim" localSheetId="8" hidden="1">100</definedName>
    <definedName name="solver_tim" localSheetId="9" hidden="1">100</definedName>
    <definedName name="solver_tim" localSheetId="4" hidden="1">1000</definedName>
    <definedName name="solver_tim" localSheetId="3" hidden="1">1000</definedName>
    <definedName name="solver_tim" localSheetId="2" hidden="1">1000</definedName>
    <definedName name="solver_tim" localSheetId="5" hidden="1">100</definedName>
    <definedName name="solver_tmp" localSheetId="6" hidden="1">Time_horizon</definedName>
    <definedName name="solver_tmp" localSheetId="7" hidden="1">Bond2!Time_horizon</definedName>
    <definedName name="solver_tmp" localSheetId="8" hidden="1">Liabilities</definedName>
    <definedName name="solver_tmp" localSheetId="9" hidden="1">Bond4!Liabilities</definedName>
    <definedName name="solver_tmp" localSheetId="4" hidden="1">0.1</definedName>
    <definedName name="solver_tmp" localSheetId="3" hidden="1">0.0003</definedName>
    <definedName name="solver_tmp" localSheetId="2" hidden="1">0.09</definedName>
    <definedName name="solver_tmp" localSheetId="5" hidden="1">0.0003</definedName>
    <definedName name="solver_tol" localSheetId="6" hidden="1">0.05</definedName>
    <definedName name="solver_tol" localSheetId="8" hidden="1">0.05</definedName>
    <definedName name="solver_tol" localSheetId="9" hidden="1">0.05</definedName>
    <definedName name="solver_tol" localSheetId="4" hidden="1">0.00000005</definedName>
    <definedName name="solver_tol" localSheetId="3" hidden="1">0.00000005</definedName>
    <definedName name="solver_tol" localSheetId="2" hidden="1">0.00000005</definedName>
    <definedName name="solver_tol" localSheetId="5" hidden="1">0.05</definedName>
    <definedName name="solver_typ" localSheetId="6" hidden="1">1</definedName>
    <definedName name="solver_typ" localSheetId="7" hidden="1">1</definedName>
    <definedName name="solver_typ" localSheetId="8" hidden="1">2</definedName>
    <definedName name="solver_typ" localSheetId="9" hidden="1">2</definedName>
    <definedName name="solver_typ" localSheetId="4" hidden="1">2</definedName>
    <definedName name="solver_typ" localSheetId="3" hidden="1">2</definedName>
    <definedName name="solver_typ" localSheetId="2" hidden="1">2</definedName>
    <definedName name="solver_typ" localSheetId="5" hidden="1">1</definedName>
    <definedName name="solver_val" localSheetId="6" hidden="1">0</definedName>
    <definedName name="solver_val" localSheetId="7" hidden="1">0</definedName>
    <definedName name="solver_val" localSheetId="8" hidden="1">0</definedName>
    <definedName name="solver_val" localSheetId="9" hidden="1">0</definedName>
    <definedName name="solver_val" localSheetId="4" hidden="1">0</definedName>
    <definedName name="solver_val" localSheetId="3" hidden="1">0</definedName>
    <definedName name="solver_val" localSheetId="2" hidden="1">0</definedName>
    <definedName name="solver_val" localSheetId="5" hidden="1">0</definedName>
    <definedName name="solver_ver" localSheetId="6" hidden="1">2</definedName>
    <definedName name="solver_ver" localSheetId="4" hidden="1">2</definedName>
    <definedName name="solver_ver" localSheetId="3" hidden="1">2</definedName>
    <definedName name="solver_ver" localSheetId="2" hidden="1">2</definedName>
    <definedName name="solver_ver" localSheetId="5" hidden="1">2</definedName>
    <definedName name="solver_ver">1.2</definedName>
    <definedName name="sssolver_drv" localSheetId="6" hidden="1">1</definedName>
    <definedName name="sssolver_drv" localSheetId="4" hidden="1">2</definedName>
    <definedName name="sssolver_drv" localSheetId="2" hidden="1">0</definedName>
    <definedName name="sssolver_est" localSheetId="6" hidden="1">1</definedName>
    <definedName name="sssolver_est" localSheetId="4" hidden="1">2</definedName>
    <definedName name="sssolver_est" localSheetId="2" hidden="1">0</definedName>
    <definedName name="sssolver_itr" localSheetId="6" hidden="1">100</definedName>
    <definedName name="sssolver_itr" localSheetId="4" hidden="1">1000</definedName>
    <definedName name="sssolver_itr" localSheetId="2" hidden="1">1000</definedName>
    <definedName name="sssolver_lin" localSheetId="6" hidden="1">1</definedName>
    <definedName name="sssolver_lin" localSheetId="4" hidden="1">2</definedName>
    <definedName name="sssolver_lin" localSheetId="2" hidden="1">2</definedName>
    <definedName name="sssolver_neg" localSheetId="6" hidden="1">1</definedName>
    <definedName name="sssolver_neg" localSheetId="4" hidden="1">0</definedName>
    <definedName name="sssolver_neg" localSheetId="2" hidden="1">0</definedName>
    <definedName name="sssolver_nwt" localSheetId="6" hidden="1">1</definedName>
    <definedName name="sssolver_nwt" localSheetId="4" hidden="1">1</definedName>
    <definedName name="sssolver_nwt" localSheetId="2" hidden="1">1</definedName>
    <definedName name="sssolver_pre" localSheetId="6" hidden="1">0.000001</definedName>
    <definedName name="sssolver_pre" localSheetId="4" hidden="1">0.00000001</definedName>
    <definedName name="sssolver_pre" localSheetId="2" hidden="1">0.00000001</definedName>
    <definedName name="sssolver_rep" localSheetId="6" hidden="1">2</definedName>
    <definedName name="sssolver_rep" localSheetId="4" hidden="1">2</definedName>
    <definedName name="sssolver_rep" localSheetId="2" hidden="1">2</definedName>
    <definedName name="sssolver_scl" localSheetId="6" hidden="1">2</definedName>
    <definedName name="sssolver_scl" localSheetId="4" hidden="1">2</definedName>
    <definedName name="sssolver_scl" localSheetId="2" hidden="1">2</definedName>
    <definedName name="sssolver_sho" localSheetId="6" hidden="1">2</definedName>
    <definedName name="sssolver_sho" localSheetId="4" hidden="1">2</definedName>
    <definedName name="sssolver_sho" localSheetId="2" hidden="1">2</definedName>
    <definedName name="sssolver_tim" localSheetId="6" hidden="1">100</definedName>
    <definedName name="sssolver_tim" localSheetId="4" hidden="1">1000</definedName>
    <definedName name="sssolver_tim" localSheetId="2" hidden="1">1000</definedName>
    <definedName name="sssolver_tol" localSheetId="6" hidden="1">0.05</definedName>
    <definedName name="sssolver_tol" localSheetId="4" hidden="1">0.00000005</definedName>
    <definedName name="sssolver_tol" localSheetId="2" hidden="1">0.00000005</definedName>
    <definedName name="Stock_Covariances">Markowitz!$B$12:$F$16</definedName>
    <definedName name="Stock_Returns">Markowitz!$B$7:$F$7</definedName>
    <definedName name="Time_horizon" localSheetId="7">Bond2!$G$14</definedName>
    <definedName name="Time_horizon">Bond1!$G$10</definedName>
    <definedName name="Total_cost" localSheetId="9">Bond4!$H$14</definedName>
    <definedName name="Total_cost">Bond3!$H$14</definedName>
    <definedName name="Total_Portfolio">Markowitz!$H$6</definedName>
    <definedName name="Variance" localSheetId="4">'Efficient Frontier'!$I$16</definedName>
    <definedName name="Variance">Sharpe!$H$12</definedName>
  </definedNames>
  <calcPr calcId="145621"/>
</workbook>
</file>

<file path=xl/calcChain.xml><?xml version="1.0" encoding="utf-8"?>
<calcChain xmlns="http://schemas.openxmlformats.org/spreadsheetml/2006/main">
  <c r="I6" i="7" l="1"/>
  <c r="G11" i="7"/>
  <c r="G12" i="7"/>
  <c r="I7" i="8"/>
  <c r="B12" i="8"/>
  <c r="C12" i="8"/>
  <c r="D12" i="8"/>
  <c r="E12" i="8"/>
  <c r="F12" i="8"/>
  <c r="G12" i="8"/>
  <c r="G16" i="8"/>
  <c r="B11" i="9"/>
  <c r="C11" i="9"/>
  <c r="D11" i="9"/>
  <c r="E11" i="9"/>
  <c r="F11" i="9"/>
  <c r="B17" i="9"/>
  <c r="C17" i="9"/>
  <c r="D17" i="9"/>
  <c r="E17" i="9"/>
  <c r="F17" i="9"/>
  <c r="H17" i="9"/>
  <c r="B18" i="9"/>
  <c r="C18" i="9"/>
  <c r="D18" i="9"/>
  <c r="E18" i="9"/>
  <c r="F18" i="9"/>
  <c r="B19" i="9"/>
  <c r="H19" i="9" s="1"/>
  <c r="C19" i="9"/>
  <c r="D19" i="9"/>
  <c r="E19" i="9"/>
  <c r="F19" i="9"/>
  <c r="C20" i="9"/>
  <c r="D20" i="9"/>
  <c r="E20" i="9"/>
  <c r="F20" i="9"/>
  <c r="C21" i="9"/>
  <c r="D21" i="9"/>
  <c r="F21" i="9"/>
  <c r="D22" i="9"/>
  <c r="H22" i="9" s="1"/>
  <c r="F22" i="9"/>
  <c r="B11" i="10"/>
  <c r="C11" i="10"/>
  <c r="D11" i="10"/>
  <c r="E11" i="10"/>
  <c r="F11" i="10"/>
  <c r="B17" i="10"/>
  <c r="C17" i="10"/>
  <c r="D17" i="10"/>
  <c r="E17" i="10"/>
  <c r="H17" i="10" s="1"/>
  <c r="H18" i="10" s="1"/>
  <c r="H19" i="10" s="1"/>
  <c r="H20" i="10" s="1"/>
  <c r="H21" i="10" s="1"/>
  <c r="H22" i="10" s="1"/>
  <c r="F17" i="10"/>
  <c r="B18" i="10"/>
  <c r="C18" i="10"/>
  <c r="D18" i="10"/>
  <c r="E18" i="10"/>
  <c r="F18" i="10"/>
  <c r="B19" i="10"/>
  <c r="C19" i="10"/>
  <c r="D19" i="10"/>
  <c r="E19" i="10"/>
  <c r="F19" i="10"/>
  <c r="C20" i="10"/>
  <c r="D20" i="10"/>
  <c r="E20" i="10"/>
  <c r="F20" i="10"/>
  <c r="C21" i="10"/>
  <c r="D21" i="10"/>
  <c r="F21" i="10"/>
  <c r="D22" i="10"/>
  <c r="F22" i="10"/>
  <c r="H6" i="5"/>
  <c r="B12" i="5"/>
  <c r="B13" i="5"/>
  <c r="C13" i="5"/>
  <c r="B14" i="5"/>
  <c r="C14" i="5"/>
  <c r="D14" i="5"/>
  <c r="E17" i="5" s="1"/>
  <c r="B15" i="5"/>
  <c r="C15" i="5"/>
  <c r="D15" i="5"/>
  <c r="E15" i="5"/>
  <c r="F17" i="5" s="1"/>
  <c r="B17" i="5"/>
  <c r="I16" i="5" s="1"/>
  <c r="I17" i="5" s="1"/>
  <c r="C17" i="5"/>
  <c r="D17" i="5"/>
  <c r="B19" i="5"/>
  <c r="I19" i="5" s="1"/>
  <c r="C19" i="5"/>
  <c r="D19" i="5"/>
  <c r="E19" i="5"/>
  <c r="F19" i="5"/>
  <c r="H6" i="4"/>
  <c r="B7" i="4"/>
  <c r="C7" i="4"/>
  <c r="D7" i="4"/>
  <c r="E7" i="4"/>
  <c r="F7" i="4"/>
  <c r="B11" i="4"/>
  <c r="B17" i="4" s="1"/>
  <c r="C11" i="4"/>
  <c r="D11" i="4"/>
  <c r="E11" i="4"/>
  <c r="F11" i="4"/>
  <c r="B12" i="4"/>
  <c r="C12" i="4"/>
  <c r="D12" i="4"/>
  <c r="E12" i="4"/>
  <c r="F12" i="4"/>
  <c r="B13" i="4"/>
  <c r="D17" i="4" s="1"/>
  <c r="C13" i="4"/>
  <c r="D13" i="4"/>
  <c r="E13" i="4"/>
  <c r="F13" i="4"/>
  <c r="B14" i="4"/>
  <c r="C14" i="4"/>
  <c r="D14" i="4"/>
  <c r="E14" i="4"/>
  <c r="E17" i="4" s="1"/>
  <c r="F14" i="4"/>
  <c r="B15" i="4"/>
  <c r="F17" i="4" s="1"/>
  <c r="C15" i="4"/>
  <c r="D15" i="4"/>
  <c r="E15" i="4"/>
  <c r="F15" i="4"/>
  <c r="C17" i="4"/>
  <c r="B19" i="4"/>
  <c r="I19" i="4" s="1"/>
  <c r="C19" i="4"/>
  <c r="D19" i="4"/>
  <c r="E19" i="4"/>
  <c r="F19" i="4"/>
  <c r="H6" i="3"/>
  <c r="B13" i="3"/>
  <c r="B14" i="3"/>
  <c r="C14" i="3"/>
  <c r="B15" i="3"/>
  <c r="C15" i="3"/>
  <c r="D15" i="3"/>
  <c r="B16" i="3"/>
  <c r="C16" i="3"/>
  <c r="D16" i="3"/>
  <c r="E16" i="3"/>
  <c r="I16" i="3"/>
  <c r="H6" i="6"/>
  <c r="B7" i="6"/>
  <c r="C7" i="6"/>
  <c r="D7" i="6"/>
  <c r="E7" i="6"/>
  <c r="F7" i="6"/>
  <c r="B8" i="6"/>
  <c r="C8" i="6"/>
  <c r="D8" i="6"/>
  <c r="E8" i="6"/>
  <c r="F8" i="6"/>
  <c r="B9" i="6"/>
  <c r="B10" i="6" s="1"/>
  <c r="C9" i="6"/>
  <c r="D9" i="6"/>
  <c r="D10" i="6" s="1"/>
  <c r="E9" i="6"/>
  <c r="E10" i="6" s="1"/>
  <c r="F9" i="6"/>
  <c r="F10" i="6" s="1"/>
  <c r="C10" i="6"/>
  <c r="I14" i="3"/>
  <c r="I17" i="4" l="1"/>
  <c r="I18" i="4" s="1"/>
  <c r="H14" i="10"/>
  <c r="H21" i="9"/>
  <c r="G15" i="8"/>
  <c r="H14" i="6"/>
  <c r="H18" i="9"/>
  <c r="H14" i="9"/>
  <c r="H20" i="9"/>
  <c r="I15" i="3"/>
  <c r="H12" i="6"/>
</calcChain>
</file>

<file path=xl/sharedStrings.xml><?xml version="1.0" encoding="utf-8"?>
<sst xmlns="http://schemas.openxmlformats.org/spreadsheetml/2006/main" count="480" uniqueCount="278">
  <si>
    <t>Investment Examples</t>
  </si>
  <si>
    <t>On each example worksheet, read the comments at the bottom of the sheet, then</t>
  </si>
  <si>
    <t>click Tools Solver... to examine the decision variables, constraints, and objective.</t>
  </si>
  <si>
    <t>To find the optimal solution, click the Solve button.</t>
  </si>
  <si>
    <t>The models in this workbook deal with decisions to invest in stocks and bonds. To help you</t>
  </si>
  <si>
    <t>understand the models in this workbook, we briefly explain the ideas behind the stock and bond</t>
  </si>
  <si>
    <t>models in the Theory worksheet.</t>
  </si>
  <si>
    <t xml:space="preserve">The Markowitz model uses the Solver to determine the percent of our available funds to invest </t>
  </si>
  <si>
    <t xml:space="preserve">in each of five stocks, so as to incur the least risk for a target rate of return.  The resulting </t>
  </si>
  <si>
    <t xml:space="preserve">portfolio of stocks is called an efficient portfolio.  In this model, we assume that the variances </t>
  </si>
  <si>
    <t xml:space="preserve">and covariances of stocks are known. In the Full Markowitz model, we calculate the variances </t>
  </si>
  <si>
    <t>and covariances of stocks from a history of stock prices.</t>
  </si>
  <si>
    <t xml:space="preserve">The Efficient Frontier worksheet contains a Markowitz model and an embedded chart.  A </t>
  </si>
  <si>
    <t xml:space="preserve">short VBA program, also included in the workbook, uses the Solver to optimize the </t>
  </si>
  <si>
    <t xml:space="preserve">Markowitz model for several different target rates of return.  The VBA code is run and the </t>
  </si>
  <si>
    <t xml:space="preserve">resulting portfolio returns and variances are plotted on the chart when you press the button on </t>
  </si>
  <si>
    <t>the worksheet.</t>
  </si>
  <si>
    <t xml:space="preserve">The Sharpe model computes an efficient portfolio using alphas and betas which relate the </t>
  </si>
  <si>
    <t xml:space="preserve">return on each stock to the return on the market and the risk-free rate.  The alphas, betas and </t>
  </si>
  <si>
    <t>residual variances are computed via linear regression from a history of stock prices.</t>
  </si>
  <si>
    <t xml:space="preserve">The four Bond worksheets illustrate how a portfolio of bonds may be 'immunized' against </t>
  </si>
  <si>
    <t xml:space="preserve">changes in interest rates.  The model Bond1 assumes that bond durations are known.  In model </t>
  </si>
  <si>
    <t>Bond2, the durations are calculated using Excel’s DURATION function.</t>
  </si>
  <si>
    <t xml:space="preserve">Models Bond3 and Bond4 illustrate 'exact matching' in fixed-income portfolios.  Here we </t>
  </si>
  <si>
    <t xml:space="preserve">assume that the investor has a series of liabilities (for example, pension payments) to be met in </t>
  </si>
  <si>
    <t xml:space="preserve">future periods, and the principal and interest on the bonds must cover the liabilities in each </t>
  </si>
  <si>
    <t>period.</t>
  </si>
  <si>
    <t>Stock Examples - Background</t>
  </si>
  <si>
    <t xml:space="preserve">Every stock in the market has a certain return. We assume that this return has a normal </t>
  </si>
  <si>
    <t xml:space="preserve">distribution. This means that we can completely describe this distribution by two terms. The </t>
  </si>
  <si>
    <t xml:space="preserve">first term is the mean (expected return) and the second is the variance of returns.  We can also </t>
  </si>
  <si>
    <t xml:space="preserve">compute a covariance of returns between any pair of stocks -- those that move together will </t>
  </si>
  <si>
    <t xml:space="preserve">have positive covariances, those that move in opposite directions will have negative </t>
  </si>
  <si>
    <t xml:space="preserve">covariances. If we know the expected return and variance of several stocks, we can put </t>
  </si>
  <si>
    <t xml:space="preserve">together a portfolio of these stocks that has a desired variance (risk) with a certain expected </t>
  </si>
  <si>
    <t xml:space="preserve">return. The Solver is used to pick the portfolio with the smallest variance for a certain </t>
  </si>
  <si>
    <t xml:space="preserve">expected return.  (Or it could be used to find the highest expected return for a certain </t>
  </si>
  <si>
    <t>variance.)</t>
  </si>
  <si>
    <t xml:space="preserve">How do we calculate the expected return and variance of a portfolio? Harry Markowitz </t>
  </si>
  <si>
    <t xml:space="preserve">developed a method that computes the portfolio variance as the sum of the individual stock </t>
  </si>
  <si>
    <t xml:space="preserve">variances and covariances between pairs of stocks in the portfolio, weighted by the relative </t>
  </si>
  <si>
    <t xml:space="preserve">proportion of each stock in the portfolio. From a mathematical point of view this is the right </t>
  </si>
  <si>
    <t xml:space="preserve">thing to do. However, since all covariance terms between all stocks must be known, this </t>
  </si>
  <si>
    <t xml:space="preserve">requires many calculations. A portfolio with 100 different stocks would require more than </t>
  </si>
  <si>
    <t>5000 covariance terms, for instance.</t>
  </si>
  <si>
    <t xml:space="preserve">William Sharpe devised another method of determining the expected return and variance of </t>
  </si>
  <si>
    <t>a portfolio.  This method assumes that the return of each stock is composed of two parts:</t>
  </si>
  <si>
    <t xml:space="preserve">One part (denoted by beta) is dependent on the overall market's performance, and the other </t>
  </si>
  <si>
    <t xml:space="preserve">(denoted by alpha) is independent of the market. So we can write the expected return as </t>
  </si>
  <si>
    <t>Return = Beta * Market + Alpha + Residual</t>
  </si>
  <si>
    <t xml:space="preserve">In this equation, alpha and beta are constants that are different for each stock; the residual </t>
  </si>
  <si>
    <t xml:space="preserve">term is a random variable with an expected value of zero. When this formula is used, a </t>
  </si>
  <si>
    <t xml:space="preserve">portfolio with 100 stocks would only require 302 terms to fully describe its distribution (100 </t>
  </si>
  <si>
    <t>alphas, 100 betas, 100 residual variances, plus the market return and the market variance).</t>
  </si>
  <si>
    <t xml:space="preserve">Compared to the more than 5000 terms of the Markowitz method, this is a big improvement. </t>
  </si>
  <si>
    <t>However, although the Sharpe method requires less work, it is not as accurate as the</t>
  </si>
  <si>
    <t>Markowitz method.</t>
  </si>
  <si>
    <t>Bond Examples - Background</t>
  </si>
  <si>
    <t xml:space="preserve">Bonds are generally considered less risky than stocks. If a bond is of high credit quality, its </t>
  </si>
  <si>
    <t xml:space="preserve">price changes will depend almost entirely on interest rate changes. If interest rates go up, the </t>
  </si>
  <si>
    <t xml:space="preserve">price of a bond goes down, while if interest rates go down, the price of a bond goes up. </t>
  </si>
  <si>
    <t xml:space="preserve">However, most bonds pay interest in an annual (or semi-annual) coupon, and the interest can </t>
  </si>
  <si>
    <t xml:space="preserve">be reinvested. If interest rates go up, the price of the bond does go down, but the coupon could </t>
  </si>
  <si>
    <t xml:space="preserve">be reinvested at the higher interest rate. These two effects cancel each other out at the end of </t>
  </si>
  <si>
    <t xml:space="preserve">the duration of a bond. The duration of a bond is the average time in which a bond is repaid. </t>
  </si>
  <si>
    <t xml:space="preserve">For example, if a bond has a maturity of 3 years with face value $1,000 and an annual coupon </t>
  </si>
  <si>
    <t xml:space="preserve">payment of $100 and a yield of 10%, the duration is 2.735 years. Thus, one way of protecting </t>
  </si>
  <si>
    <t xml:space="preserve">against fluctuation of interest rates is to have a portfolio whose duration  is equal to one’s own </t>
  </si>
  <si>
    <t xml:space="preserve">investment time horizon. A portfolio of bonds has a duration that is the weighted average of </t>
  </si>
  <si>
    <t xml:space="preserve">the duration of the individual bonds. </t>
  </si>
  <si>
    <t xml:space="preserve">In model Bond1 we assume we know the duration of the bonds available and want to maximize </t>
  </si>
  <si>
    <t xml:space="preserve">the yield of the portfolio while keeping the duration equal to a given investment time horizon. </t>
  </si>
  <si>
    <t xml:space="preserve">This technique is known as bond portfolio 'immunization.'  Bond2 is another immunization </t>
  </si>
  <si>
    <t xml:space="preserve">model, but this time the duration for each bond is calculated from the face value, maturity, </t>
  </si>
  <si>
    <t xml:space="preserve">annual coupon and yield to maturity of each bond. </t>
  </si>
  <si>
    <t xml:space="preserve">In model Bond3 we look at another common way to protect against interest rate fluctuations. </t>
  </si>
  <si>
    <t xml:space="preserve">When we acquire a portfolio of bonds, we can exactly calculate the cash flow that arrives from </t>
  </si>
  <si>
    <t xml:space="preserve">this portfolio. This consists of the coupons plus the face values of the bonds that mature. </t>
  </si>
  <si>
    <t xml:space="preserve">This also works the other way around. If we know we need to have certain amounts of cash </t>
  </si>
  <si>
    <t xml:space="preserve">available at certain periods, we can put together a portfolio that does exactly this. The Solver </t>
  </si>
  <si>
    <t>chooses that portfolio that covers the required amounts in each year and costs the least.</t>
  </si>
  <si>
    <t xml:space="preserve">Bond4 is another example of this technique called 'Exact Matching.' This time we allow </t>
  </si>
  <si>
    <t>excess funds in a certain period to be reinvested to meet requirements in a future period.</t>
  </si>
  <si>
    <t>Portfolio Optimization - Markowitz Method</t>
  </si>
  <si>
    <t>This Solver model uses the QUADPRODUCT function at cell I14 to compute the portfolio variance.</t>
  </si>
  <si>
    <t>It can be solved for the minimum variance using either the GRG nonlinear solver or the Quadratic Solver.</t>
  </si>
  <si>
    <t>Stock 1</t>
  </si>
  <si>
    <t>Stock 2</t>
  </si>
  <si>
    <t>Stock 3</t>
  </si>
  <si>
    <t>Stock 4</t>
  </si>
  <si>
    <t>Stock 5</t>
  </si>
  <si>
    <t>Total</t>
  </si>
  <si>
    <t>Portfolio %</t>
  </si>
  <si>
    <t>Expected Return</t>
  </si>
  <si>
    <t>Linear QP Terms</t>
  </si>
  <si>
    <t>Variance/Covariance Matrix</t>
  </si>
  <si>
    <t>Variance</t>
  </si>
  <si>
    <t>Std. Dev.</t>
  </si>
  <si>
    <t>Return</t>
  </si>
  <si>
    <t>Problem</t>
  </si>
  <si>
    <t>An investor wants to put together a portfolio consisting of up to 5 stocks. Using the Markowitz method, what is the</t>
  </si>
  <si>
    <t>best combination of stocks to minimize risk for a given return? The variances are known for each stock, as are the</t>
  </si>
  <si>
    <t>covariances between all stocks. The returns for all stocks are also known.</t>
  </si>
  <si>
    <t xml:space="preserve"> </t>
  </si>
  <si>
    <t>Solution</t>
  </si>
  <si>
    <t>1) The variables are the percentage allocations of our funds to invest in each stock. In this worksheet, the variables</t>
  </si>
  <si>
    <t>are given the name Allocations.  The sum of the allocations (which must be 100%) is computed in the cell named</t>
  </si>
  <si>
    <t>Total_Portfolio.</t>
  </si>
  <si>
    <t>2) The constraints are very simple. First there are the logical constraints:</t>
  </si>
  <si>
    <t>Allocations &gt;= 0  via the Assume Non-Negative option</t>
  </si>
  <si>
    <t>Total_Portfolio = 1</t>
  </si>
  <si>
    <t>Then there is a constraint that the portfolio return should be at least a certain target value (9%  in this example).  This</t>
  </si>
  <si>
    <t>return is calculated in the cell named Portfolio_return:</t>
  </si>
  <si>
    <t>Portfolio_Return &gt;= 0.09</t>
  </si>
  <si>
    <t xml:space="preserve">3) The objective is to minimize portfolio variance, which is calculated according to the Markowitz method in the cell </t>
  </si>
  <si>
    <t>named Portfolio_Variance.</t>
  </si>
  <si>
    <t>Remarks</t>
  </si>
  <si>
    <t>In this worksheet, we use the QUADPRODUCT function to compute the portfolio variance.  If you see #NAME? on</t>
  </si>
  <si>
    <t>this worksheet, you need to open the add-in (DOTPRD32.XLL or DOTPROD.XLL) that provides QUADPRODUCT.</t>
  </si>
  <si>
    <t>In the Full Markowitz worksheet, we calculate the portfolio variance 'manually' without using QUADPRODUCT.</t>
  </si>
  <si>
    <t xml:space="preserve">The Markowitz method can only be used if all the variances of individual stocks, and the covariances between each </t>
  </si>
  <si>
    <t xml:space="preserve">pair of stocks are known. In this model we assumed that all the terms are given. In the Full Markowitz worksheet we </t>
  </si>
  <si>
    <t>actually calculate the variances and covariances from a history of stock prices.</t>
  </si>
  <si>
    <t>An investor wants to put together a portfolio, drawing from a set of 5 candidate stocks.</t>
  </si>
  <si>
    <t>What is the best combination of stocks to achieve a given rate of return with the least risk?</t>
  </si>
  <si>
    <t>Variance Terms</t>
  </si>
  <si>
    <t>Return Terms</t>
  </si>
  <si>
    <t>Historical data (Returns) on stocks</t>
  </si>
  <si>
    <t>Period 1</t>
  </si>
  <si>
    <t>Period 2</t>
  </si>
  <si>
    <t>Period 3</t>
  </si>
  <si>
    <t>Period 4</t>
  </si>
  <si>
    <t>Period 5</t>
  </si>
  <si>
    <t>Period 6</t>
  </si>
  <si>
    <t>Period 7</t>
  </si>
  <si>
    <t>Period 8</t>
  </si>
  <si>
    <t>Period 9</t>
  </si>
  <si>
    <t>Period 10</t>
  </si>
  <si>
    <t>best combination of stocks to minimize risk for a given return? In this model, we calculate stock returns, the variance</t>
  </si>
  <si>
    <t>of each stock, and the covariances between stocks, using the Excel functions AVERAGE, VARP and COVAR.</t>
  </si>
  <si>
    <t xml:space="preserve">are cells B6 to F6 (they are not given a name).  The sum of the percentage allocations (which must be 100%) is </t>
  </si>
  <si>
    <t>computed in cell H6.</t>
  </si>
  <si>
    <t>B6:F6 &gt;= 0  via the Assume Non-Negative option</t>
  </si>
  <si>
    <t>H6 = 1</t>
  </si>
  <si>
    <t>return is calculated in cell I19, as the sum of the weighted stock returns:</t>
  </si>
  <si>
    <t>I19 &gt;= 0.09</t>
  </si>
  <si>
    <t>3) The objective is to minimize portfolio variance, which is calculated from the weighted individual stock variances</t>
  </si>
  <si>
    <t>and covariances according to the Markowitz method in cell I17.</t>
  </si>
  <si>
    <t>The stock variances and covariances are calculated in cells B11:F15 from the historical price data in cells B23:F32.</t>
  </si>
  <si>
    <t>Using historical price data to compute estimates of stock returns, variances and covariances is only a first step in</t>
  </si>
  <si>
    <t>investment planning.  Stock returns, as well as variances and covariances, vary over time.  Investors often rely on</t>
  </si>
  <si>
    <t>security analysts to provide better estimates of these quantities for the future.</t>
  </si>
  <si>
    <t>'What is the best combination of stocks to achieve a given rate of return with the least risk?</t>
  </si>
  <si>
    <t>Des. Ret</t>
  </si>
  <si>
    <t>This worksheet includes a Markowitz portfolio model that can be optimized by the Solver to find the minimum variance</t>
  </si>
  <si>
    <t>portfolio for a given target rate of return.  We then use VBA (Visual Basic Application Edition) code to set the target</t>
  </si>
  <si>
    <t>rate of return to different values (from 10% to almost 15%) and run the Solver to optimize the model for each target return.</t>
  </si>
  <si>
    <t>The VBA code stores the target returns and resulting portfolio variances in cells J21 through K40, which are linked to</t>
  </si>
  <si>
    <t>the X-Y plot shown to the right.  When you press the button labeled 'Create Frontier', the VBA code is run and the</t>
  </si>
  <si>
    <t>resulting efficient frontier is drawn on the embedded chart.</t>
  </si>
  <si>
    <t>To see the VBA code controlling the Solver, select Tools Macro... Visual Basic Editor, or press Alt+F11.  In the VBA</t>
  </si>
  <si>
    <t>window, in the left-hand Project list window double-click on Modules, then double-click on Module1.  To successully</t>
  </si>
  <si>
    <t>run the code and create the chart, you may need to choose Tools References... in the VBA Editor and click to set a</t>
  </si>
  <si>
    <t>check mark next to 'Solver'.</t>
  </si>
  <si>
    <t>Portfolio Optimization - Single-Index Method</t>
  </si>
  <si>
    <t>What is the best combination of stocks to get the maximum return with a given variance (risk) ?</t>
  </si>
  <si>
    <t>Beta-Coefficient</t>
  </si>
  <si>
    <t>Alpha-Coefficient</t>
  </si>
  <si>
    <t>Residual Variance</t>
  </si>
  <si>
    <t>Weighted Variance</t>
  </si>
  <si>
    <t>Portfolio Variance</t>
  </si>
  <si>
    <t>Portfolio Return</t>
  </si>
  <si>
    <t>Market</t>
  </si>
  <si>
    <t>An investor wants to put together a portfolio consisting of up to 5 stocks. Using the Sharpe Single-Index method,</t>
  </si>
  <si>
    <t>what is the best combination of stocks to maximize return for a given level of risk (variance)?</t>
  </si>
  <si>
    <t>1) The variables are the percentage or fractional allocations of our funds to invest in each stock. In this worksheet,</t>
  </si>
  <si>
    <t>the variables are given the name Portfolio_fractions.  The sum of the allocations (which must be 100%) is computed</t>
  </si>
  <si>
    <t>in the cell named Portfolio_Total.</t>
  </si>
  <si>
    <t>Portfolio_Fractions &gt;= 0  via the Assume Non-Negative option</t>
  </si>
  <si>
    <t>Portfolio_Total = 1</t>
  </si>
  <si>
    <t>Then there is a constraint that the portfolio variance should be no more than 0.0003 (in this example).  The portfolio</t>
  </si>
  <si>
    <t>variance is calculated in the cell named Variance:</t>
  </si>
  <si>
    <t>Variance &lt;= 0.0003</t>
  </si>
  <si>
    <t xml:space="preserve">3) The objective is to maximize portfolio return which is calculated according to the Sharpe method in the cell </t>
  </si>
  <si>
    <t>named Return.</t>
  </si>
  <si>
    <t xml:space="preserve">This model uses historical data on the stocks and market to calculate the returns and variance of the stocks and </t>
  </si>
  <si>
    <t xml:space="preserve">the portfolio. It also uses Excel's regression tools to estimate the alphas and betas, as well as the residual error, </t>
  </si>
  <si>
    <t>necessary to use the Sharpe Single Index method.</t>
  </si>
  <si>
    <t>A different approach to this problem would be to minimize risk for a certain return.  It is easy to adjust the Solver to</t>
  </si>
  <si>
    <t>do this. Simply change the set cell to be the variance and adjust the constraint to hold the return at a given level.</t>
  </si>
  <si>
    <t>Bond Immunization Model</t>
  </si>
  <si>
    <t>An investor wants to put together a portfolio, drawing from a set of 5 candidate bonds.</t>
  </si>
  <si>
    <t>What is the best combination of bonds to get the optimum yield with a given investment time horizon ?</t>
  </si>
  <si>
    <t>Bond 1</t>
  </si>
  <si>
    <t>Bond 2</t>
  </si>
  <si>
    <t>Bond 3</t>
  </si>
  <si>
    <t>Bond 4</t>
  </si>
  <si>
    <t>Bond 5</t>
  </si>
  <si>
    <t>Bond 6</t>
  </si>
  <si>
    <t>Duration (Years)</t>
  </si>
  <si>
    <t>Yield to Maturity</t>
  </si>
  <si>
    <t>Investment Time Horizon</t>
  </si>
  <si>
    <t>Portfolio Duration</t>
  </si>
  <si>
    <t>Portfolio Yield</t>
  </si>
  <si>
    <t xml:space="preserve">An investor wants to put together a portfolio consisting of up to 6 different bonds. To minimize risk of </t>
  </si>
  <si>
    <t>loss of principal value due to interest rate fluctuations and to assure enough cash-flow at a certain point</t>
  </si>
  <si>
    <t xml:space="preserve">in the future, he wants to make sure that the average duration of the bonds equals his investment time </t>
  </si>
  <si>
    <t xml:space="preserve">horizon.  How should the investor choose his portfolio to optimize the combined yield of the bonds, </t>
  </si>
  <si>
    <t xml:space="preserve">while making sure that the duration of the portfolio equals the investment time horizon?  The duration </t>
  </si>
  <si>
    <t>and the yield to maturity are known for each bond.</t>
  </si>
  <si>
    <t xml:space="preserve">1) The variables are the percentages or fractions of our available funds to invest in each bond. In </t>
  </si>
  <si>
    <t>worksheet BOND1 these are given the name Portfolio_fractions.</t>
  </si>
  <si>
    <t>2) The constraints are very simple. First we have the logical constraints:</t>
  </si>
  <si>
    <t>Portfolio_fractions &gt;= 0  via the Assume Non-Negative option</t>
  </si>
  <si>
    <t>Portfolio_total = 1</t>
  </si>
  <si>
    <t>Then there is the constraint to make sure that the portfolio duration equals the investment time horizon:</t>
  </si>
  <si>
    <t>Portfolio_duration = Time_horizon</t>
  </si>
  <si>
    <t>3) The objective is to maximize the portfolio yield. This is given the name Portfolio_yield</t>
  </si>
  <si>
    <t>In this model we assume that the duration of the bond is known. In worksheet BOND2 we will see how</t>
  </si>
  <si>
    <t>to use EXCEL's build-in functions to calculate the duration of each bond.</t>
  </si>
  <si>
    <t>An investor wants to put together a portfolio, consisting out of a maximum of 6 bonds.</t>
  </si>
  <si>
    <t>The period from settlement to maturity is 4 years for each bond.</t>
  </si>
  <si>
    <t>Coupon Payment</t>
  </si>
  <si>
    <t>Face Value</t>
  </si>
  <si>
    <t>while making sure that the duration of the portfolio equals the investment time horizon?  All bonds</t>
  </si>
  <si>
    <t>mature in 4 years and have one annual interest payment. The annual payments, the yield and the</t>
  </si>
  <si>
    <t xml:space="preserve">face values of the bonds are all known </t>
  </si>
  <si>
    <t xml:space="preserve">The solution is the same as in worksheet BOND1. The difference is that instead of the duration of </t>
  </si>
  <si>
    <t>each bond being given, it is now calculated from the yield, annual coupon and face value.</t>
  </si>
  <si>
    <t xml:space="preserve">The Excel function DURATION is only available if you have installed the Analysis ToolPak add-in. If </t>
  </si>
  <si>
    <t xml:space="preserve">you see #NAME? on the worksheet, choose Tools Add-Ins..., click to put a check mark next to </t>
  </si>
  <si>
    <t xml:space="preserve">Analysis ToolPak, then click OK. If Analysis ToolPak is missing from the list of available add-ins, you </t>
  </si>
  <si>
    <t>may need to install it from the Excel or Office CD.</t>
  </si>
  <si>
    <t>Bond Model - Exact Matching</t>
  </si>
  <si>
    <t xml:space="preserve">What is the minimum cost portfolio, consisting of up to 6 bonds, that provides enough </t>
  </si>
  <si>
    <t>cash flow to cover liabilities in each period?</t>
  </si>
  <si>
    <t>Interest Rate</t>
  </si>
  <si>
    <t>Characteristics of bonds</t>
  </si>
  <si>
    <t>Years to Maturity</t>
  </si>
  <si>
    <t>Price</t>
  </si>
  <si>
    <t>Cost</t>
  </si>
  <si>
    <t>Number Purchased</t>
  </si>
  <si>
    <t>Cash Flow</t>
  </si>
  <si>
    <t>Liability</t>
  </si>
  <si>
    <t>Year 1</t>
  </si>
  <si>
    <t>Year 2</t>
  </si>
  <si>
    <t>Year 3</t>
  </si>
  <si>
    <t>Year 4</t>
  </si>
  <si>
    <t>Year 5</t>
  </si>
  <si>
    <t>Year 6</t>
  </si>
  <si>
    <t xml:space="preserve">In models BOND1 and BOND2 we saw a way for an investor to protect against interest rate fluctuations. Here, we'll look </t>
  </si>
  <si>
    <t>at another method.  An investor wants to put together a portfolio consisting of up to 6 different bonds. He has certain cash-</t>
  </si>
  <si>
    <t xml:space="preserve">flow requirements in the future that the coupons of the bonds should cover.  (For example, a pension fund must meet </t>
  </si>
  <si>
    <t xml:space="preserve">requirements for future pension payments.)  These payments are independent of interest rate changes.  How should the </t>
  </si>
  <si>
    <t>investor choose his portfolio to minimize the cost of the bonds, while making sure that the payments cover his future cash-</t>
  </si>
  <si>
    <t>flow requirements?</t>
  </si>
  <si>
    <t xml:space="preserve">1) The variables are the number of each bond to include in the portfolio. In worksheet BOND3 these are given the name </t>
  </si>
  <si>
    <t>Purchased_bonds.</t>
  </si>
  <si>
    <t>Purchased_bonds &gt;= 0  via the Assume Non-Negative option</t>
  </si>
  <si>
    <t>Purchased_bonds = integer  (We can not buy fractions of a bond)</t>
  </si>
  <si>
    <t>Then there is the constraint to make sure that the cash-flow requirements are met:</t>
  </si>
  <si>
    <t>Cash_flow &gt;= Liabilities</t>
  </si>
  <si>
    <t>3) The objective is to minimize the portfolio cost. This is given the name Total_cost.</t>
  </si>
  <si>
    <t>In this model we assume that money coming in from maturing bonds can not be used to cover the cash-flow requirements.</t>
  </si>
  <si>
    <t xml:space="preserve">Also, we do not account for excess money in one period that may be transferred to the next period. In model BOND4 we </t>
  </si>
  <si>
    <t>will account for this.</t>
  </si>
  <si>
    <t>Bond Model - Exact Matching with Cash Carryforward</t>
  </si>
  <si>
    <t>Total w/Int</t>
  </si>
  <si>
    <t>An investor wants to put together a portfolio consisting of up to 6 different bonds. He has certain cash-flow requirements in the future</t>
  </si>
  <si>
    <t>that the coupons of the bonds should cover.  (For example, a pension fund must meet requirements for future pension payments.)</t>
  </si>
  <si>
    <t xml:space="preserve">These payments are independent of interest rate changes.  Excess payments in a period can be reinvested, to be available in the  </t>
  </si>
  <si>
    <t xml:space="preserve">next period, at a certain interest rate.  How should the investor choose his portfolio to minimize the cost of the bonds, while making </t>
  </si>
  <si>
    <t>sure that the payments cover his future cash-flow requirements?</t>
  </si>
  <si>
    <t>The solution is similar to the one in BOND3. The difference is that the cash-flow takes into account the reinvestment of excess</t>
  </si>
  <si>
    <t>funds in one period for the next period. Remember that the original idea behind exact matching was to minimize the influence</t>
  </si>
  <si>
    <t>of interest rate changes.  In this model, however, we are again more dependent on the interest rate, since a shift in the future</t>
  </si>
  <si>
    <t xml:space="preserve">rate would affect the solution to the model.  Thus, the market value of the portfolio may fluctuate to a greater extent than if we </t>
  </si>
  <si>
    <t>ignored reinvestment opportunities.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</si>
</sst>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5" formatCode="&quot;$&quot;#,##0_);\(&quot;$&quot;#,##0\)"/>
    <numFmt numFmtId="6" formatCode="&quot;$&quot;#,##0_);[Red]\(&quot;$&quot;#,##0\)"/>
    <numFmt numFmtId="8" formatCode="&quot;$&quot;#,##0.00_);[Red]\(&quot;$&quot;#,##0.00\)"/>
    <numFmt numFmtId="164" formatCode="0.00000"/>
    <numFmt numFmtId="165" formatCode="0.0000000"/>
  </numFmts>
  <fonts count="14" x14ac:knownFonts="1">
    <font>
      <sz val="10"/>
      <name val="MS Sans Serif"/>
    </font>
    <font>
      <b/>
      <sz val="10"/>
      <name val="MS Sans Serif"/>
      <family val="2"/>
    </font>
    <font>
      <i/>
      <sz val="10"/>
      <name val="MS Sans Serif"/>
      <family val="2"/>
    </font>
    <font>
      <b/>
      <i/>
      <sz val="10"/>
      <name val="MS Sans Serif"/>
      <family val="2"/>
    </font>
    <font>
      <sz val="10"/>
      <name val="MS Sans Serif"/>
      <family val="2"/>
    </font>
    <font>
      <sz val="8"/>
      <name val="MS Sans Serif"/>
      <family val="2"/>
    </font>
    <font>
      <b/>
      <sz val="8"/>
      <name val="MS Sans Serif"/>
      <family val="2"/>
    </font>
    <font>
      <b/>
      <i/>
      <sz val="8"/>
      <name val="MS Sans Serif"/>
      <family val="2"/>
    </font>
    <font>
      <b/>
      <sz val="10"/>
      <name val="Helv"/>
    </font>
    <font>
      <sz val="8"/>
      <name val="Helv"/>
    </font>
    <font>
      <sz val="10"/>
      <name val="Helv"/>
    </font>
    <font>
      <b/>
      <sz val="10"/>
      <name val="MS Sans Serif"/>
      <family val="2"/>
    </font>
    <font>
      <sz val="8"/>
      <name val="MS Sans Serif"/>
      <family val="2"/>
    </font>
    <font>
      <b/>
      <sz val="8"/>
      <name val="MS Sans Serif"/>
      <family val="2"/>
    </font>
  </fonts>
  <fills count="6">
    <fill>
      <patternFill patternType="none"/>
    </fill>
    <fill>
      <patternFill patternType="gray125"/>
    </fill>
    <fill>
      <patternFill patternType="lightGray">
        <fgColor indexed="13"/>
      </patternFill>
    </fill>
    <fill>
      <patternFill patternType="gray125">
        <fgColor indexed="9"/>
      </patternFill>
    </fill>
    <fill>
      <patternFill patternType="solid">
        <fgColor indexed="26"/>
        <bgColor indexed="13"/>
      </patternFill>
    </fill>
    <fill>
      <patternFill patternType="solid">
        <fgColor indexed="26"/>
        <bgColor indexed="64"/>
      </patternFill>
    </fill>
  </fills>
  <borders count="19">
    <border>
      <left/>
      <right/>
      <top/>
      <bottom/>
      <diagonal/>
    </border>
    <border>
      <left style="thick">
        <color indexed="12"/>
      </left>
      <right/>
      <top style="thick">
        <color indexed="12"/>
      </top>
      <bottom/>
      <diagonal/>
    </border>
    <border>
      <left/>
      <right/>
      <top style="thick">
        <color indexed="12"/>
      </top>
      <bottom/>
      <diagonal/>
    </border>
    <border>
      <left/>
      <right style="thick">
        <color indexed="12"/>
      </right>
      <top style="thick">
        <color indexed="12"/>
      </top>
      <bottom/>
      <diagonal/>
    </border>
    <border>
      <left style="thick">
        <color indexed="12"/>
      </left>
      <right/>
      <top/>
      <bottom style="thick">
        <color indexed="12"/>
      </bottom>
      <diagonal/>
    </border>
    <border>
      <left/>
      <right/>
      <top/>
      <bottom style="thick">
        <color indexed="12"/>
      </bottom>
      <diagonal/>
    </border>
    <border>
      <left/>
      <right style="thick">
        <color indexed="12"/>
      </right>
      <top/>
      <bottom style="thick">
        <color indexed="12"/>
      </bottom>
      <diagonal/>
    </border>
    <border>
      <left style="thick">
        <color indexed="12"/>
      </left>
      <right/>
      <top/>
      <bottom/>
      <diagonal/>
    </border>
    <border>
      <left style="thick">
        <color indexed="17"/>
      </left>
      <right/>
      <top style="thick">
        <color indexed="17"/>
      </top>
      <bottom style="thick">
        <color indexed="17"/>
      </bottom>
      <diagonal/>
    </border>
    <border>
      <left/>
      <right/>
      <top style="thick">
        <color indexed="17"/>
      </top>
      <bottom style="thick">
        <color indexed="17"/>
      </bottom>
      <diagonal/>
    </border>
    <border>
      <left/>
      <right style="thick">
        <color indexed="17"/>
      </right>
      <top style="thick">
        <color indexed="17"/>
      </top>
      <bottom style="thick">
        <color indexed="17"/>
      </bottom>
      <diagonal/>
    </border>
    <border>
      <left style="thick">
        <color indexed="10"/>
      </left>
      <right style="thick">
        <color indexed="10"/>
      </right>
      <top style="thick">
        <color indexed="10"/>
      </top>
      <bottom style="thick">
        <color indexed="10"/>
      </bottom>
      <diagonal/>
    </border>
    <border>
      <left/>
      <right style="thick">
        <color indexed="12"/>
      </right>
      <top/>
      <bottom/>
      <diagonal/>
    </border>
    <border>
      <left style="thick">
        <color indexed="21"/>
      </left>
      <right style="thick">
        <color indexed="21"/>
      </right>
      <top style="thick">
        <color indexed="21"/>
      </top>
      <bottom style="thick">
        <color indexed="21"/>
      </bottom>
      <diagonal/>
    </border>
    <border>
      <left style="thick">
        <color indexed="16"/>
      </left>
      <right style="thick">
        <color indexed="16"/>
      </right>
      <top style="thick">
        <color indexed="16"/>
      </top>
      <bottom/>
      <diagonal/>
    </border>
    <border>
      <left style="thick">
        <color indexed="16"/>
      </left>
      <right style="thick">
        <color indexed="16"/>
      </right>
      <top/>
      <bottom/>
      <diagonal/>
    </border>
    <border>
      <left style="thick">
        <color indexed="16"/>
      </left>
      <right style="thick">
        <color indexed="16"/>
      </right>
      <top/>
      <bottom style="thick">
        <color indexed="16"/>
      </bottom>
      <diagonal/>
    </border>
    <border>
      <left style="thick">
        <color indexed="21"/>
      </left>
      <right style="thick">
        <color indexed="12"/>
      </right>
      <top style="thick">
        <color indexed="12"/>
      </top>
      <bottom style="thick">
        <color indexed="21"/>
      </bottom>
      <diagonal/>
    </border>
    <border>
      <left style="thick">
        <color indexed="10"/>
      </left>
      <right style="thick">
        <color indexed="12"/>
      </right>
      <top style="thick">
        <color indexed="10"/>
      </top>
      <bottom style="thick">
        <color indexed="12"/>
      </bottom>
      <diagonal/>
    </border>
  </borders>
  <cellStyleXfs count="3">
    <xf numFmtId="0" fontId="0" fillId="0" borderId="0"/>
    <xf numFmtId="0" fontId="4" fillId="0" borderId="0"/>
    <xf numFmtId="0" fontId="9" fillId="0" borderId="0">
      <alignment horizontal="left"/>
    </xf>
  </cellStyleXfs>
  <cellXfs count="176">
    <xf numFmtId="0" fontId="0" fillId="0" borderId="0" xfId="0"/>
    <xf numFmtId="0" fontId="1" fillId="0" borderId="0" xfId="0" applyFont="1"/>
    <xf numFmtId="0" fontId="5" fillId="2" borderId="1" xfId="0" quotePrefix="1" applyFont="1" applyFill="1" applyBorder="1" applyAlignment="1">
      <alignment horizontal="left"/>
    </xf>
    <xf numFmtId="0" fontId="5" fillId="2" borderId="2" xfId="0" applyFont="1" applyFill="1" applyBorder="1"/>
    <xf numFmtId="0" fontId="0" fillId="2" borderId="3" xfId="0" applyFill="1" applyBorder="1"/>
    <xf numFmtId="0" fontId="5" fillId="2" borderId="4" xfId="0" quotePrefix="1" applyFont="1" applyFill="1" applyBorder="1" applyAlignment="1">
      <alignment horizontal="left"/>
    </xf>
    <xf numFmtId="0" fontId="5" fillId="2" borderId="5" xfId="0" applyFont="1" applyFill="1" applyBorder="1"/>
    <xf numFmtId="0" fontId="0" fillId="2" borderId="6" xfId="0" applyFill="1" applyBorder="1"/>
    <xf numFmtId="0" fontId="5" fillId="0" borderId="0" xfId="0" applyFont="1"/>
    <xf numFmtId="0" fontId="0" fillId="0" borderId="1" xfId="0" applyBorder="1"/>
    <xf numFmtId="0" fontId="6" fillId="0" borderId="2" xfId="0" applyFont="1" applyBorder="1"/>
    <xf numFmtId="0" fontId="0" fillId="0" borderId="2" xfId="0" applyBorder="1"/>
    <xf numFmtId="0" fontId="6" fillId="0" borderId="3" xfId="0" applyFont="1" applyBorder="1" applyAlignment="1">
      <alignment horizontal="center"/>
    </xf>
    <xf numFmtId="0" fontId="6" fillId="0" borderId="7" xfId="0" applyFont="1" applyBorder="1"/>
    <xf numFmtId="10" fontId="0" fillId="0" borderId="8" xfId="0" applyNumberFormat="1" applyBorder="1"/>
    <xf numFmtId="10" fontId="0" fillId="0" borderId="9" xfId="0" applyNumberFormat="1" applyBorder="1"/>
    <xf numFmtId="10" fontId="0" fillId="0" borderId="10" xfId="0" applyNumberFormat="1" applyBorder="1"/>
    <xf numFmtId="10" fontId="0" fillId="0" borderId="0" xfId="0" applyNumberFormat="1" applyBorder="1"/>
    <xf numFmtId="10" fontId="0" fillId="0" borderId="11" xfId="0" applyNumberFormat="1" applyBorder="1"/>
    <xf numFmtId="0" fontId="6" fillId="0" borderId="7" xfId="0" quotePrefix="1" applyFont="1" applyBorder="1" applyAlignment="1">
      <alignment horizontal="left"/>
    </xf>
    <xf numFmtId="0" fontId="0" fillId="0" borderId="0" xfId="0" applyBorder="1"/>
    <xf numFmtId="0" fontId="0" fillId="0" borderId="12" xfId="0" applyBorder="1"/>
    <xf numFmtId="0" fontId="6" fillId="0" borderId="4" xfId="0" applyFont="1" applyBorder="1"/>
    <xf numFmtId="10" fontId="0" fillId="0" borderId="5" xfId="0" applyNumberFormat="1" applyBorder="1"/>
    <xf numFmtId="0" fontId="0" fillId="0" borderId="5" xfId="0" applyBorder="1"/>
    <xf numFmtId="0" fontId="0" fillId="0" borderId="6" xfId="0" applyBorder="1"/>
    <xf numFmtId="0" fontId="0" fillId="0" borderId="0" xfId="0" applyAlignment="1">
      <alignment horizontal="left"/>
    </xf>
    <xf numFmtId="0" fontId="6" fillId="0" borderId="0" xfId="0" applyFont="1" applyAlignment="1">
      <alignment horizontal="right"/>
    </xf>
    <xf numFmtId="0" fontId="0" fillId="0" borderId="11" xfId="0" applyBorder="1"/>
    <xf numFmtId="0" fontId="0" fillId="0" borderId="0" xfId="0" applyAlignment="1">
      <alignment horizontal="right"/>
    </xf>
    <xf numFmtId="10" fontId="0" fillId="0" borderId="0" xfId="0" applyNumberFormat="1"/>
    <xf numFmtId="10" fontId="0" fillId="0" borderId="13" xfId="0" applyNumberFormat="1" applyBorder="1"/>
    <xf numFmtId="0" fontId="5" fillId="2" borderId="7" xfId="0" quotePrefix="1" applyFont="1" applyFill="1" applyBorder="1" applyAlignment="1">
      <alignment horizontal="left"/>
    </xf>
    <xf numFmtId="0" fontId="5" fillId="2" borderId="0" xfId="0" applyFont="1" applyFill="1" applyBorder="1"/>
    <xf numFmtId="0" fontId="0" fillId="2" borderId="12" xfId="0" applyFill="1" applyBorder="1"/>
    <xf numFmtId="0" fontId="5" fillId="2" borderId="4" xfId="0" applyFont="1" applyFill="1" applyBorder="1" applyAlignment="1">
      <alignment horizontal="left"/>
    </xf>
    <xf numFmtId="5" fontId="0" fillId="0" borderId="0" xfId="0" applyNumberFormat="1" applyBorder="1"/>
    <xf numFmtId="0" fontId="0" fillId="0" borderId="7" xfId="0" applyBorder="1"/>
    <xf numFmtId="0" fontId="6" fillId="0" borderId="4" xfId="0" quotePrefix="1" applyFont="1" applyBorder="1" applyAlignment="1">
      <alignment horizontal="left"/>
    </xf>
    <xf numFmtId="0" fontId="0" fillId="2" borderId="2" xfId="0" applyFill="1" applyBorder="1"/>
    <xf numFmtId="0" fontId="0" fillId="2" borderId="0" xfId="0" applyFill="1" applyBorder="1"/>
    <xf numFmtId="0" fontId="6" fillId="2" borderId="4" xfId="0" applyFont="1" applyFill="1" applyBorder="1"/>
    <xf numFmtId="9" fontId="0" fillId="2" borderId="5" xfId="0" applyNumberFormat="1" applyFill="1" applyBorder="1"/>
    <xf numFmtId="0" fontId="0" fillId="2" borderId="5" xfId="0" applyFill="1" applyBorder="1"/>
    <xf numFmtId="0" fontId="6" fillId="0" borderId="0" xfId="0" applyFont="1" applyBorder="1"/>
    <xf numFmtId="9" fontId="0" fillId="0" borderId="0" xfId="0" applyNumberFormat="1" applyBorder="1"/>
    <xf numFmtId="0" fontId="6" fillId="0" borderId="1" xfId="0" quotePrefix="1" applyFont="1" applyBorder="1" applyAlignment="1">
      <alignment horizontal="left"/>
    </xf>
    <xf numFmtId="0" fontId="6" fillId="0" borderId="3" xfId="0" applyFont="1" applyBorder="1"/>
    <xf numFmtId="0" fontId="6" fillId="0" borderId="0" xfId="0" applyFont="1" applyBorder="1" applyAlignment="1">
      <alignment horizontal="center"/>
    </xf>
    <xf numFmtId="0" fontId="6" fillId="0" borderId="12" xfId="0" applyFont="1" applyBorder="1" applyAlignment="1">
      <alignment horizontal="center"/>
    </xf>
    <xf numFmtId="6" fontId="0" fillId="0" borderId="0" xfId="0" applyNumberFormat="1" applyBorder="1"/>
    <xf numFmtId="6" fontId="0" fillId="0" borderId="12" xfId="0" applyNumberFormat="1" applyBorder="1"/>
    <xf numFmtId="8" fontId="0" fillId="0" borderId="5" xfId="0" applyNumberFormat="1" applyBorder="1"/>
    <xf numFmtId="8" fontId="0" fillId="0" borderId="6" xfId="0" applyNumberFormat="1" applyBorder="1"/>
    <xf numFmtId="0" fontId="0" fillId="0" borderId="4" xfId="0" applyBorder="1"/>
    <xf numFmtId="0" fontId="6" fillId="0" borderId="2" xfId="0" applyFont="1" applyBorder="1" applyAlignment="1">
      <alignment horizontal="center"/>
    </xf>
    <xf numFmtId="0" fontId="1" fillId="0" borderId="0" xfId="0" applyFont="1" applyAlignment="1">
      <alignment horizontal="center"/>
    </xf>
    <xf numFmtId="0" fontId="0" fillId="0" borderId="8" xfId="0" applyBorder="1"/>
    <xf numFmtId="0" fontId="0" fillId="0" borderId="9" xfId="0" applyBorder="1"/>
    <xf numFmtId="0" fontId="0" fillId="0" borderId="10" xfId="0" applyBorder="1"/>
    <xf numFmtId="6" fontId="0" fillId="0" borderId="13" xfId="0" applyNumberFormat="1" applyBorder="1"/>
    <xf numFmtId="0" fontId="3" fillId="0" borderId="1" xfId="0" applyFont="1" applyBorder="1"/>
    <xf numFmtId="0" fontId="6" fillId="0" borderId="3" xfId="0" quotePrefix="1" applyFont="1" applyBorder="1" applyAlignment="1">
      <alignment horizontal="left"/>
    </xf>
    <xf numFmtId="6" fontId="0" fillId="0" borderId="14" xfId="0" applyNumberFormat="1" applyBorder="1"/>
    <xf numFmtId="6" fontId="0" fillId="0" borderId="15" xfId="0" applyNumberFormat="1" applyBorder="1"/>
    <xf numFmtId="6" fontId="0" fillId="0" borderId="5" xfId="0" applyNumberFormat="1" applyBorder="1"/>
    <xf numFmtId="6" fontId="0" fillId="0" borderId="16" xfId="0" applyNumberFormat="1" applyBorder="1"/>
    <xf numFmtId="0" fontId="6" fillId="0" borderId="0" xfId="0" applyFont="1"/>
    <xf numFmtId="0" fontId="1" fillId="0" borderId="0" xfId="0" quotePrefix="1" applyFont="1" applyAlignment="1">
      <alignment horizontal="left"/>
    </xf>
    <xf numFmtId="0" fontId="6" fillId="0" borderId="2" xfId="0" quotePrefix="1" applyFont="1" applyBorder="1" applyAlignment="1">
      <alignment horizontal="center"/>
    </xf>
    <xf numFmtId="0" fontId="6" fillId="0" borderId="3" xfId="0" quotePrefix="1" applyFont="1" applyBorder="1" applyAlignment="1">
      <alignment horizontal="center"/>
    </xf>
    <xf numFmtId="0" fontId="6" fillId="0" borderId="4" xfId="0" applyFont="1" applyBorder="1" applyAlignment="1">
      <alignment horizontal="left"/>
    </xf>
    <xf numFmtId="164" fontId="0" fillId="0" borderId="5" xfId="0" applyNumberFormat="1" applyBorder="1"/>
    <xf numFmtId="0" fontId="1" fillId="0" borderId="1" xfId="0" applyFont="1" applyBorder="1"/>
    <xf numFmtId="0" fontId="0" fillId="0" borderId="3" xfId="0" applyBorder="1"/>
    <xf numFmtId="10" fontId="0" fillId="0" borderId="12" xfId="0" applyNumberFormat="1" applyBorder="1"/>
    <xf numFmtId="10" fontId="0" fillId="0" borderId="6" xfId="0" applyNumberFormat="1" applyBorder="1"/>
    <xf numFmtId="0" fontId="5" fillId="0" borderId="0" xfId="0" quotePrefix="1" applyFont="1" applyAlignment="1">
      <alignment horizontal="left"/>
    </xf>
    <xf numFmtId="0" fontId="5" fillId="0" borderId="2" xfId="0" applyFont="1" applyBorder="1"/>
    <xf numFmtId="0" fontId="6" fillId="0" borderId="7" xfId="0" applyFont="1" applyBorder="1" applyAlignment="1">
      <alignment horizontal="right"/>
    </xf>
    <xf numFmtId="10" fontId="0" fillId="0" borderId="0" xfId="0" quotePrefix="1" applyNumberFormat="1" applyBorder="1" applyAlignment="1"/>
    <xf numFmtId="0" fontId="6" fillId="0" borderId="0" xfId="0" applyFont="1" applyBorder="1" applyAlignment="1">
      <alignment horizontal="right"/>
    </xf>
    <xf numFmtId="0" fontId="6" fillId="0" borderId="1" xfId="0" applyFont="1" applyBorder="1"/>
    <xf numFmtId="0" fontId="1" fillId="0" borderId="1" xfId="0" quotePrefix="1" applyFont="1" applyBorder="1" applyAlignment="1">
      <alignment horizontal="left"/>
    </xf>
    <xf numFmtId="0" fontId="6" fillId="0" borderId="12" xfId="0" applyFont="1" applyBorder="1"/>
    <xf numFmtId="165" fontId="0" fillId="0" borderId="17" xfId="0" applyNumberFormat="1" applyBorder="1"/>
    <xf numFmtId="10" fontId="0" fillId="0" borderId="18" xfId="0" applyNumberFormat="1" applyBorder="1"/>
    <xf numFmtId="10" fontId="0" fillId="0" borderId="0" xfId="0" applyNumberFormat="1" applyAlignment="1">
      <alignment horizontal="left"/>
    </xf>
    <xf numFmtId="0" fontId="1" fillId="0" borderId="0" xfId="1" applyFont="1"/>
    <xf numFmtId="0" fontId="4" fillId="0" borderId="0" xfId="1"/>
    <xf numFmtId="0" fontId="5" fillId="2" borderId="1" xfId="1" applyFont="1" applyFill="1" applyBorder="1" applyAlignment="1">
      <alignment horizontal="left"/>
    </xf>
    <xf numFmtId="0" fontId="4" fillId="2" borderId="2" xfId="1" applyFill="1" applyBorder="1"/>
    <xf numFmtId="0" fontId="4" fillId="2" borderId="3" xfId="1" applyFill="1" applyBorder="1"/>
    <xf numFmtId="0" fontId="5" fillId="2" borderId="4" xfId="1" applyFont="1" applyFill="1" applyBorder="1" applyAlignment="1">
      <alignment horizontal="left"/>
    </xf>
    <xf numFmtId="0" fontId="4" fillId="2" borderId="5" xfId="1" applyFill="1" applyBorder="1"/>
    <xf numFmtId="0" fontId="4" fillId="2" borderId="6" xfId="1" applyFill="1" applyBorder="1"/>
    <xf numFmtId="0" fontId="5" fillId="0" borderId="0" xfId="1" quotePrefix="1" applyFont="1" applyAlignment="1">
      <alignment horizontal="left"/>
    </xf>
    <xf numFmtId="0" fontId="4" fillId="0" borderId="1" xfId="1" applyBorder="1"/>
    <xf numFmtId="0" fontId="6" fillId="0" borderId="2" xfId="1" applyFont="1" applyBorder="1" applyAlignment="1">
      <alignment horizontal="center"/>
    </xf>
    <xf numFmtId="0" fontId="4" fillId="0" borderId="2" xfId="1" applyBorder="1"/>
    <xf numFmtId="0" fontId="6" fillId="0" borderId="3" xfId="1" applyFont="1" applyBorder="1" applyAlignment="1">
      <alignment horizontal="center"/>
    </xf>
    <xf numFmtId="0" fontId="6" fillId="0" borderId="7" xfId="1" applyFont="1" applyBorder="1"/>
    <xf numFmtId="10" fontId="4" fillId="0" borderId="8" xfId="1" applyNumberFormat="1" applyBorder="1"/>
    <xf numFmtId="10" fontId="4" fillId="0" borderId="9" xfId="1" applyNumberFormat="1" applyBorder="1"/>
    <xf numFmtId="10" fontId="4" fillId="0" borderId="10" xfId="1" applyNumberFormat="1" applyBorder="1"/>
    <xf numFmtId="0" fontId="4" fillId="0" borderId="0" xfId="1" applyBorder="1"/>
    <xf numFmtId="10" fontId="4" fillId="0" borderId="11" xfId="1" applyNumberFormat="1" applyBorder="1"/>
    <xf numFmtId="0" fontId="6" fillId="0" borderId="7" xfId="1" quotePrefix="1" applyFont="1" applyBorder="1" applyAlignment="1">
      <alignment horizontal="left"/>
    </xf>
    <xf numFmtId="10" fontId="4" fillId="0" borderId="0" xfId="1" applyNumberFormat="1" applyBorder="1"/>
    <xf numFmtId="0" fontId="4" fillId="0" borderId="12" xfId="1" applyBorder="1"/>
    <xf numFmtId="0" fontId="7" fillId="0" borderId="4" xfId="1" applyFont="1" applyBorder="1" applyAlignment="1">
      <alignment horizontal="left"/>
    </xf>
    <xf numFmtId="1" fontId="2" fillId="0" borderId="5" xfId="1" applyNumberFormat="1" applyFont="1" applyBorder="1"/>
    <xf numFmtId="0" fontId="4" fillId="0" borderId="5" xfId="1" applyBorder="1"/>
    <xf numFmtId="0" fontId="4" fillId="0" borderId="6" xfId="1" applyBorder="1"/>
    <xf numFmtId="0" fontId="6" fillId="0" borderId="1" xfId="1" quotePrefix="1" applyFont="1" applyBorder="1" applyAlignment="1">
      <alignment horizontal="left"/>
    </xf>
    <xf numFmtId="0" fontId="5" fillId="0" borderId="2" xfId="1" applyFont="1" applyBorder="1"/>
    <xf numFmtId="0" fontId="4" fillId="0" borderId="3" xfId="1" applyBorder="1"/>
    <xf numFmtId="0" fontId="4" fillId="0" borderId="7" xfId="1" applyBorder="1"/>
    <xf numFmtId="0" fontId="6" fillId="0" borderId="0" xfId="1" applyFont="1" applyBorder="1" applyAlignment="1">
      <alignment horizontal="center"/>
    </xf>
    <xf numFmtId="0" fontId="6" fillId="0" borderId="12" xfId="1" applyFont="1" applyBorder="1" applyAlignment="1">
      <alignment horizontal="center"/>
    </xf>
    <xf numFmtId="0" fontId="6" fillId="0" borderId="7" xfId="1" applyFont="1" applyBorder="1" applyAlignment="1">
      <alignment horizontal="right"/>
    </xf>
    <xf numFmtId="10" fontId="4" fillId="0" borderId="12" xfId="1" applyNumberFormat="1" applyBorder="1"/>
    <xf numFmtId="10" fontId="4" fillId="0" borderId="0" xfId="1" quotePrefix="1" applyNumberFormat="1" applyBorder="1" applyAlignment="1"/>
    <xf numFmtId="0" fontId="6" fillId="0" borderId="1" xfId="1" applyFont="1" applyBorder="1"/>
    <xf numFmtId="0" fontId="6" fillId="0" borderId="4" xfId="1" applyFont="1" applyBorder="1" applyAlignment="1">
      <alignment horizontal="right"/>
    </xf>
    <xf numFmtId="10" fontId="4" fillId="0" borderId="5" xfId="1" applyNumberFormat="1" applyBorder="1"/>
    <xf numFmtId="10" fontId="4" fillId="0" borderId="6" xfId="1" applyNumberFormat="1" applyBorder="1"/>
    <xf numFmtId="0" fontId="6" fillId="0" borderId="4" xfId="1" applyFont="1" applyBorder="1"/>
    <xf numFmtId="10" fontId="4" fillId="0" borderId="13" xfId="1" applyNumberFormat="1" applyBorder="1"/>
    <xf numFmtId="0" fontId="8" fillId="3" borderId="0" xfId="2" applyNumberFormat="1" applyFont="1" applyFill="1" applyBorder="1" applyAlignment="1">
      <alignment horizontal="left"/>
    </xf>
    <xf numFmtId="0" fontId="10" fillId="3" borderId="0" xfId="2" applyNumberFormat="1" applyFont="1" applyFill="1" applyBorder="1" applyAlignment="1">
      <alignment horizontal="left"/>
    </xf>
    <xf numFmtId="0" fontId="0" fillId="4" borderId="1" xfId="0" applyFill="1" applyBorder="1"/>
    <xf numFmtId="0" fontId="0" fillId="4" borderId="2" xfId="0" applyFill="1" applyBorder="1"/>
    <xf numFmtId="0" fontId="0" fillId="4" borderId="3" xfId="0" applyFill="1" applyBorder="1"/>
    <xf numFmtId="0" fontId="0" fillId="4" borderId="7" xfId="0" applyFill="1" applyBorder="1"/>
    <xf numFmtId="0" fontId="0" fillId="4" borderId="0" xfId="0" applyFill="1" applyBorder="1"/>
    <xf numFmtId="0" fontId="0" fillId="4" borderId="12" xfId="0" applyFill="1" applyBorder="1"/>
    <xf numFmtId="0" fontId="0" fillId="4" borderId="4" xfId="0" applyFill="1" applyBorder="1"/>
    <xf numFmtId="0" fontId="0" fillId="4" borderId="5" xfId="0" applyFill="1" applyBorder="1"/>
    <xf numFmtId="0" fontId="0" fillId="4" borderId="6" xfId="0" applyFill="1" applyBorder="1"/>
    <xf numFmtId="0" fontId="11" fillId="0" borderId="0" xfId="0" applyFont="1"/>
    <xf numFmtId="0" fontId="0" fillId="5" borderId="1" xfId="0" applyFill="1" applyBorder="1"/>
    <xf numFmtId="0" fontId="0" fillId="5" borderId="2" xfId="0" applyFill="1" applyBorder="1"/>
    <xf numFmtId="0" fontId="0" fillId="5" borderId="3" xfId="0" applyFill="1" applyBorder="1"/>
    <xf numFmtId="0" fontId="0" fillId="5" borderId="7" xfId="0" applyFill="1" applyBorder="1"/>
    <xf numFmtId="0" fontId="0" fillId="5" borderId="0" xfId="0" applyFill="1" applyBorder="1"/>
    <xf numFmtId="0" fontId="0" fillId="5" borderId="12" xfId="0" applyFill="1" applyBorder="1"/>
    <xf numFmtId="0" fontId="0" fillId="5" borderId="4" xfId="0" applyFill="1" applyBorder="1"/>
    <xf numFmtId="0" fontId="0" fillId="5" borderId="5" xfId="0" applyFill="1" applyBorder="1"/>
    <xf numFmtId="0" fontId="0" fillId="5" borderId="6" xfId="0" applyFill="1" applyBorder="1"/>
    <xf numFmtId="0" fontId="12" fillId="5" borderId="2" xfId="1" applyFont="1" applyFill="1" applyBorder="1"/>
    <xf numFmtId="0" fontId="4" fillId="5" borderId="2" xfId="1" applyFill="1" applyBorder="1"/>
    <xf numFmtId="0" fontId="4" fillId="5" borderId="3" xfId="1" applyFill="1" applyBorder="1"/>
    <xf numFmtId="0" fontId="12" fillId="5" borderId="7" xfId="1" applyFont="1" applyFill="1" applyBorder="1"/>
    <xf numFmtId="0" fontId="12" fillId="5" borderId="0" xfId="1" applyFont="1" applyFill="1" applyBorder="1"/>
    <xf numFmtId="0" fontId="4" fillId="5" borderId="0" xfId="1" applyFill="1" applyBorder="1"/>
    <xf numFmtId="0" fontId="4" fillId="5" borderId="12" xfId="1" applyFill="1" applyBorder="1"/>
    <xf numFmtId="0" fontId="12" fillId="5" borderId="4" xfId="1" applyFont="1" applyFill="1" applyBorder="1"/>
    <xf numFmtId="0" fontId="12" fillId="5" borderId="5" xfId="1" applyFont="1" applyFill="1" applyBorder="1"/>
    <xf numFmtId="0" fontId="4" fillId="5" borderId="5" xfId="1" applyFill="1" applyBorder="1"/>
    <xf numFmtId="0" fontId="4" fillId="5" borderId="6" xfId="1" applyFill="1" applyBorder="1"/>
    <xf numFmtId="0" fontId="13" fillId="5" borderId="1" xfId="1" applyFont="1" applyFill="1" applyBorder="1"/>
    <xf numFmtId="0" fontId="13" fillId="5" borderId="7" xfId="1" applyFont="1" applyFill="1" applyBorder="1"/>
    <xf numFmtId="10" fontId="12" fillId="5" borderId="1" xfId="0" applyNumberFormat="1" applyFont="1" applyFill="1" applyBorder="1" applyAlignment="1">
      <alignment horizontal="left"/>
    </xf>
    <xf numFmtId="10" fontId="0" fillId="5" borderId="2" xfId="0" applyNumberFormat="1" applyFill="1" applyBorder="1" applyAlignment="1">
      <alignment horizontal="left"/>
    </xf>
    <xf numFmtId="10" fontId="12" fillId="5" borderId="7" xfId="0" applyNumberFormat="1" applyFont="1" applyFill="1" applyBorder="1" applyAlignment="1">
      <alignment horizontal="left"/>
    </xf>
    <xf numFmtId="10" fontId="0" fillId="5" borderId="0" xfId="0" applyNumberFormat="1" applyFill="1" applyBorder="1" applyAlignment="1">
      <alignment horizontal="left"/>
    </xf>
    <xf numFmtId="10" fontId="12" fillId="5" borderId="4" xfId="0" applyNumberFormat="1" applyFont="1" applyFill="1" applyBorder="1" applyAlignment="1">
      <alignment horizontal="left"/>
    </xf>
    <xf numFmtId="10" fontId="0" fillId="5" borderId="5" xfId="0" applyNumberFormat="1" applyFill="1" applyBorder="1" applyAlignment="1">
      <alignment horizontal="left"/>
    </xf>
    <xf numFmtId="0" fontId="12" fillId="5" borderId="7" xfId="0" applyFont="1" applyFill="1" applyBorder="1"/>
    <xf numFmtId="0" fontId="12" fillId="5" borderId="4" xfId="0" applyFont="1" applyFill="1" applyBorder="1"/>
    <xf numFmtId="0" fontId="12" fillId="5" borderId="2" xfId="0" applyFont="1" applyFill="1" applyBorder="1"/>
    <xf numFmtId="0" fontId="12" fillId="5" borderId="0" xfId="0" applyFont="1" applyFill="1" applyBorder="1"/>
    <xf numFmtId="0" fontId="12" fillId="5" borderId="5" xfId="0" applyFont="1" applyFill="1" applyBorder="1"/>
    <xf numFmtId="0" fontId="13" fillId="5" borderId="1" xfId="0" applyFont="1" applyFill="1" applyBorder="1"/>
    <xf numFmtId="0" fontId="13" fillId="5" borderId="7" xfId="0" applyFont="1" applyFill="1" applyBorder="1"/>
  </cellXfs>
  <cellStyles count="3">
    <cellStyle name="Normal" xfId="0" builtinId="0"/>
    <cellStyle name="Normal_EXAMPLE3" xfId="1"/>
    <cellStyle name="Normal_FINANCE" xfId="2"/>
  </cellStyles>
  <dxfs count="0"/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E3E3E3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Efficient Frontier</a:t>
            </a:r>
          </a:p>
        </c:rich>
      </c:tx>
      <c:layout>
        <c:manualLayout>
          <c:xMode val="edge"/>
          <c:yMode val="edge"/>
          <c:x val="0.39962476547842402"/>
          <c:y val="3.3333431976302015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2570356472795496"/>
          <c:y val="0.14848528789443624"/>
          <c:w val="0.63789868667917449"/>
          <c:h val="0.65454739153465769"/>
        </c:manualLayout>
      </c:layout>
      <c:scatterChart>
        <c:scatterStyle val="smoothMarker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'Efficient Frontier'!$K$21:$K$40</c:f>
              <c:numCache>
                <c:formatCode>General</c:formatCode>
                <c:ptCount val="20"/>
              </c:numCache>
            </c:numRef>
          </c:xVal>
          <c:yVal>
            <c:numRef>
              <c:f>'Efficient Frontier'!$J$21:$J$40</c:f>
              <c:numCache>
                <c:formatCode>General</c:formatCode>
                <c:ptCount val="20"/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38526592"/>
        <c:axId val="338528896"/>
      </c:scatterChart>
      <c:valAx>
        <c:axId val="33852659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8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Variance</a:t>
                </a:r>
              </a:p>
            </c:rich>
          </c:tx>
          <c:layout>
            <c:manualLayout>
              <c:xMode val="edge"/>
              <c:yMode val="edge"/>
              <c:x val="0.39587242026266417"/>
              <c:y val="0.88485110337092621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38528896"/>
        <c:crosses val="autoZero"/>
        <c:crossBetween val="midCat"/>
      </c:valAx>
      <c:valAx>
        <c:axId val="338528896"/>
        <c:scaling>
          <c:orientation val="minMax"/>
          <c:min val="0.06"/>
        </c:scaling>
        <c:delete val="0"/>
        <c:axPos val="l"/>
        <c:title>
          <c:tx>
            <c:rich>
              <a:bodyPr/>
              <a:lstStyle/>
              <a:p>
                <a:pPr>
                  <a:defRPr sz="8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Return</a:t>
                </a:r>
              </a:p>
            </c:rich>
          </c:tx>
          <c:layout>
            <c:manualLayout>
              <c:xMode val="edge"/>
              <c:yMode val="edge"/>
              <c:x val="2.8142589118198873E-2"/>
              <c:y val="0.41515274370485233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38526592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12700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>
      <c:oddHeader>&amp;A</c:oddHeader>
      <c:oddFooter>Page &amp;P</c:oddFooter>
    </c:headerFooter>
    <c:pageMargins b="1" l="0.75" r="0.75" t="1" header="0.5" footer="0.5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171450</xdr:colOff>
      <xdr:row>0</xdr:row>
      <xdr:rowOff>133350</xdr:rowOff>
    </xdr:from>
    <xdr:to>
      <xdr:col>17</xdr:col>
      <xdr:colOff>371475</xdr:colOff>
      <xdr:row>19</xdr:row>
      <xdr:rowOff>0</xdr:rowOff>
    </xdr:to>
    <xdr:graphicFrame macro="">
      <xdr:nvGraphicFramePr>
        <xdr:cNvPr id="1025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57150</xdr:colOff>
          <xdr:row>8</xdr:row>
          <xdr:rowOff>19050</xdr:rowOff>
        </xdr:from>
        <xdr:to>
          <xdr:col>9</xdr:col>
          <xdr:colOff>9525</xdr:colOff>
          <xdr:row>13</xdr:row>
          <xdr:rowOff>57150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MS Sans Serif"/>
                </a:rPr>
                <a:t>Create Frontier</a:t>
              </a:r>
            </a:p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MS Sans Serif"/>
                </a:rPr>
                <a:t> (Run Only in Desktop Excel; RequiresTools-References Solver checked in VB Editor)</a:t>
              </a:r>
              <a:endParaRPr lang="en-US"/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I35"/>
  <sheetViews>
    <sheetView showGridLines="0" workbookViewId="0"/>
  </sheetViews>
  <sheetFormatPr defaultRowHeight="12.75" x14ac:dyDescent="0.2"/>
  <sheetData>
    <row r="1" spans="1:9" x14ac:dyDescent="0.2">
      <c r="A1" s="129" t="s">
        <v>0</v>
      </c>
    </row>
    <row r="2" spans="1:9" ht="6" customHeight="1" x14ac:dyDescent="0.2">
      <c r="A2" s="129"/>
    </row>
    <row r="3" spans="1:9" x14ac:dyDescent="0.2">
      <c r="A3" s="130" t="s">
        <v>1</v>
      </c>
    </row>
    <row r="4" spans="1:9" x14ac:dyDescent="0.2">
      <c r="A4" s="130" t="s">
        <v>2</v>
      </c>
    </row>
    <row r="5" spans="1:9" x14ac:dyDescent="0.2">
      <c r="A5" s="130" t="s">
        <v>3</v>
      </c>
    </row>
    <row r="6" spans="1:9" ht="6" customHeight="1" thickBot="1" x14ac:dyDescent="0.25"/>
    <row r="7" spans="1:9" ht="13.5" thickTop="1" x14ac:dyDescent="0.2">
      <c r="A7" s="131" t="s">
        <v>4</v>
      </c>
      <c r="B7" s="132"/>
      <c r="C7" s="132"/>
      <c r="D7" s="132"/>
      <c r="E7" s="132"/>
      <c r="F7" s="132"/>
      <c r="G7" s="132"/>
      <c r="H7" s="132"/>
      <c r="I7" s="133"/>
    </row>
    <row r="8" spans="1:9" x14ac:dyDescent="0.2">
      <c r="A8" s="134" t="s">
        <v>5</v>
      </c>
      <c r="B8" s="135"/>
      <c r="C8" s="135"/>
      <c r="D8" s="135"/>
      <c r="E8" s="135"/>
      <c r="F8" s="135"/>
      <c r="G8" s="135"/>
      <c r="H8" s="135"/>
      <c r="I8" s="136"/>
    </row>
    <row r="9" spans="1:9" x14ac:dyDescent="0.2">
      <c r="A9" s="134" t="s">
        <v>6</v>
      </c>
      <c r="B9" s="135"/>
      <c r="C9" s="135"/>
      <c r="D9" s="135"/>
      <c r="E9" s="135"/>
      <c r="F9" s="135"/>
      <c r="G9" s="135"/>
      <c r="H9" s="135"/>
      <c r="I9" s="136"/>
    </row>
    <row r="10" spans="1:9" x14ac:dyDescent="0.2">
      <c r="A10" s="134"/>
      <c r="B10" s="135"/>
      <c r="C10" s="135"/>
      <c r="D10" s="135"/>
      <c r="E10" s="135"/>
      <c r="F10" s="135"/>
      <c r="G10" s="135"/>
      <c r="H10" s="135"/>
      <c r="I10" s="136"/>
    </row>
    <row r="11" spans="1:9" x14ac:dyDescent="0.2">
      <c r="A11" s="134" t="s">
        <v>7</v>
      </c>
      <c r="B11" s="135"/>
      <c r="C11" s="135"/>
      <c r="D11" s="135"/>
      <c r="E11" s="135"/>
      <c r="F11" s="135"/>
      <c r="G11" s="135"/>
      <c r="H11" s="135"/>
      <c r="I11" s="136"/>
    </row>
    <row r="12" spans="1:9" x14ac:dyDescent="0.2">
      <c r="A12" s="134" t="s">
        <v>8</v>
      </c>
      <c r="B12" s="135"/>
      <c r="C12" s="135"/>
      <c r="D12" s="135"/>
      <c r="E12" s="135"/>
      <c r="F12" s="135"/>
      <c r="G12" s="135"/>
      <c r="H12" s="135"/>
      <c r="I12" s="136"/>
    </row>
    <row r="13" spans="1:9" x14ac:dyDescent="0.2">
      <c r="A13" s="134" t="s">
        <v>9</v>
      </c>
      <c r="B13" s="135"/>
      <c r="C13" s="135"/>
      <c r="D13" s="135"/>
      <c r="E13" s="135"/>
      <c r="F13" s="135"/>
      <c r="G13" s="135"/>
      <c r="H13" s="135"/>
      <c r="I13" s="136"/>
    </row>
    <row r="14" spans="1:9" x14ac:dyDescent="0.2">
      <c r="A14" s="134" t="s">
        <v>10</v>
      </c>
      <c r="B14" s="135"/>
      <c r="C14" s="135"/>
      <c r="D14" s="135"/>
      <c r="E14" s="135"/>
      <c r="F14" s="135"/>
      <c r="G14" s="135"/>
      <c r="H14" s="135"/>
      <c r="I14" s="136"/>
    </row>
    <row r="15" spans="1:9" x14ac:dyDescent="0.2">
      <c r="A15" s="134" t="s">
        <v>11</v>
      </c>
      <c r="B15" s="135"/>
      <c r="C15" s="135"/>
      <c r="D15" s="135"/>
      <c r="E15" s="135"/>
      <c r="F15" s="135"/>
      <c r="G15" s="135"/>
      <c r="H15" s="135"/>
      <c r="I15" s="136"/>
    </row>
    <row r="16" spans="1:9" x14ac:dyDescent="0.2">
      <c r="A16" s="134"/>
      <c r="B16" s="135"/>
      <c r="C16" s="135"/>
      <c r="D16" s="135"/>
      <c r="E16" s="135"/>
      <c r="F16" s="135"/>
      <c r="G16" s="135"/>
      <c r="H16" s="135"/>
      <c r="I16" s="136"/>
    </row>
    <row r="17" spans="1:9" x14ac:dyDescent="0.2">
      <c r="A17" s="134" t="s">
        <v>12</v>
      </c>
      <c r="B17" s="135"/>
      <c r="C17" s="135"/>
      <c r="D17" s="135"/>
      <c r="E17" s="135"/>
      <c r="F17" s="135"/>
      <c r="G17" s="135"/>
      <c r="H17" s="135"/>
      <c r="I17" s="136"/>
    </row>
    <row r="18" spans="1:9" x14ac:dyDescent="0.2">
      <c r="A18" s="134" t="s">
        <v>13</v>
      </c>
      <c r="B18" s="135"/>
      <c r="C18" s="135"/>
      <c r="D18" s="135"/>
      <c r="E18" s="135"/>
      <c r="F18" s="135"/>
      <c r="G18" s="135"/>
      <c r="H18" s="135"/>
      <c r="I18" s="136"/>
    </row>
    <row r="19" spans="1:9" x14ac:dyDescent="0.2">
      <c r="A19" s="134" t="s">
        <v>14</v>
      </c>
      <c r="B19" s="135"/>
      <c r="C19" s="135"/>
      <c r="D19" s="135"/>
      <c r="E19" s="135"/>
      <c r="F19" s="135"/>
      <c r="G19" s="135"/>
      <c r="H19" s="135"/>
      <c r="I19" s="136"/>
    </row>
    <row r="20" spans="1:9" x14ac:dyDescent="0.2">
      <c r="A20" s="134" t="s">
        <v>15</v>
      </c>
      <c r="B20" s="135"/>
      <c r="C20" s="135"/>
      <c r="D20" s="135"/>
      <c r="E20" s="135"/>
      <c r="F20" s="135"/>
      <c r="G20" s="135"/>
      <c r="H20" s="135"/>
      <c r="I20" s="136"/>
    </row>
    <row r="21" spans="1:9" x14ac:dyDescent="0.2">
      <c r="A21" s="134" t="s">
        <v>16</v>
      </c>
      <c r="B21" s="135"/>
      <c r="C21" s="135"/>
      <c r="D21" s="135"/>
      <c r="E21" s="135"/>
      <c r="F21" s="135"/>
      <c r="G21" s="135"/>
      <c r="H21" s="135"/>
      <c r="I21" s="136"/>
    </row>
    <row r="22" spans="1:9" x14ac:dyDescent="0.2">
      <c r="A22" s="134"/>
      <c r="B22" s="135"/>
      <c r="C22" s="135"/>
      <c r="D22" s="135"/>
      <c r="E22" s="135"/>
      <c r="F22" s="135"/>
      <c r="G22" s="135"/>
      <c r="H22" s="135"/>
      <c r="I22" s="136"/>
    </row>
    <row r="23" spans="1:9" x14ac:dyDescent="0.2">
      <c r="A23" s="134" t="s">
        <v>17</v>
      </c>
      <c r="B23" s="135"/>
      <c r="C23" s="135"/>
      <c r="D23" s="135"/>
      <c r="E23" s="135"/>
      <c r="F23" s="135"/>
      <c r="G23" s="135"/>
      <c r="H23" s="135"/>
      <c r="I23" s="136"/>
    </row>
    <row r="24" spans="1:9" x14ac:dyDescent="0.2">
      <c r="A24" s="134" t="s">
        <v>18</v>
      </c>
      <c r="B24" s="135"/>
      <c r="C24" s="135"/>
      <c r="D24" s="135"/>
      <c r="E24" s="135"/>
      <c r="F24" s="135"/>
      <c r="G24" s="135"/>
      <c r="H24" s="135"/>
      <c r="I24" s="136"/>
    </row>
    <row r="25" spans="1:9" x14ac:dyDescent="0.2">
      <c r="A25" s="134" t="s">
        <v>19</v>
      </c>
      <c r="B25" s="135"/>
      <c r="C25" s="135"/>
      <c r="D25" s="135"/>
      <c r="E25" s="135"/>
      <c r="F25" s="135"/>
      <c r="G25" s="135"/>
      <c r="H25" s="135"/>
      <c r="I25" s="136"/>
    </row>
    <row r="26" spans="1:9" x14ac:dyDescent="0.2">
      <c r="A26" s="134"/>
      <c r="B26" s="135"/>
      <c r="C26" s="135"/>
      <c r="D26" s="135"/>
      <c r="E26" s="135"/>
      <c r="F26" s="135"/>
      <c r="G26" s="135"/>
      <c r="H26" s="135"/>
      <c r="I26" s="136"/>
    </row>
    <row r="27" spans="1:9" x14ac:dyDescent="0.2">
      <c r="A27" s="134" t="s">
        <v>20</v>
      </c>
      <c r="B27" s="135"/>
      <c r="C27" s="135"/>
      <c r="D27" s="135"/>
      <c r="E27" s="135"/>
      <c r="F27" s="135"/>
      <c r="G27" s="135"/>
      <c r="H27" s="135"/>
      <c r="I27" s="136"/>
    </row>
    <row r="28" spans="1:9" x14ac:dyDescent="0.2">
      <c r="A28" s="134" t="s">
        <v>21</v>
      </c>
      <c r="B28" s="135"/>
      <c r="C28" s="135"/>
      <c r="D28" s="135"/>
      <c r="E28" s="135"/>
      <c r="F28" s="135"/>
      <c r="G28" s="135"/>
      <c r="H28" s="135"/>
      <c r="I28" s="136"/>
    </row>
    <row r="29" spans="1:9" x14ac:dyDescent="0.2">
      <c r="A29" s="134" t="s">
        <v>22</v>
      </c>
      <c r="B29" s="135"/>
      <c r="C29" s="135"/>
      <c r="D29" s="135"/>
      <c r="E29" s="135"/>
      <c r="F29" s="135"/>
      <c r="G29" s="135"/>
      <c r="H29" s="135"/>
      <c r="I29" s="136"/>
    </row>
    <row r="30" spans="1:9" x14ac:dyDescent="0.2">
      <c r="A30" s="134"/>
      <c r="B30" s="135"/>
      <c r="C30" s="135"/>
      <c r="D30" s="135"/>
      <c r="E30" s="135"/>
      <c r="F30" s="135"/>
      <c r="G30" s="135"/>
      <c r="H30" s="135"/>
      <c r="I30" s="136"/>
    </row>
    <row r="31" spans="1:9" x14ac:dyDescent="0.2">
      <c r="A31" s="134" t="s">
        <v>23</v>
      </c>
      <c r="B31" s="135"/>
      <c r="C31" s="135"/>
      <c r="D31" s="135"/>
      <c r="E31" s="135"/>
      <c r="F31" s="135"/>
      <c r="G31" s="135"/>
      <c r="H31" s="135"/>
      <c r="I31" s="136"/>
    </row>
    <row r="32" spans="1:9" x14ac:dyDescent="0.2">
      <c r="A32" s="134" t="s">
        <v>24</v>
      </c>
      <c r="B32" s="135"/>
      <c r="C32" s="135"/>
      <c r="D32" s="135"/>
      <c r="E32" s="135"/>
      <c r="F32" s="135"/>
      <c r="G32" s="135"/>
      <c r="H32" s="135"/>
      <c r="I32" s="136"/>
    </row>
    <row r="33" spans="1:9" x14ac:dyDescent="0.2">
      <c r="A33" s="134" t="s">
        <v>25</v>
      </c>
      <c r="B33" s="135"/>
      <c r="C33" s="135"/>
      <c r="D33" s="135"/>
      <c r="E33" s="135"/>
      <c r="F33" s="135"/>
      <c r="G33" s="135"/>
      <c r="H33" s="135"/>
      <c r="I33" s="136"/>
    </row>
    <row r="34" spans="1:9" ht="13.5" thickBot="1" x14ac:dyDescent="0.25">
      <c r="A34" s="137" t="s">
        <v>26</v>
      </c>
      <c r="B34" s="138"/>
      <c r="C34" s="138"/>
      <c r="D34" s="138"/>
      <c r="E34" s="138"/>
      <c r="F34" s="138"/>
      <c r="G34" s="138"/>
      <c r="H34" s="138"/>
      <c r="I34" s="139"/>
    </row>
    <row r="35" spans="1:9" ht="13.5" thickTop="1" x14ac:dyDescent="0.2"/>
  </sheetData>
  <pageMargins left="0.75" right="0.75" top="1" bottom="1" header="0.5" footer="0.5"/>
  <pageSetup orientation="portrait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I64"/>
  <sheetViews>
    <sheetView showGridLines="0" workbookViewId="0"/>
  </sheetViews>
  <sheetFormatPr defaultRowHeight="12.75" x14ac:dyDescent="0.2"/>
  <sheetData>
    <row r="1" spans="1:9" x14ac:dyDescent="0.2">
      <c r="A1" s="140" t="s">
        <v>27</v>
      </c>
    </row>
    <row r="2" spans="1:9" ht="6" customHeight="1" thickBot="1" x14ac:dyDescent="0.25"/>
    <row r="3" spans="1:9" ht="13.5" thickTop="1" x14ac:dyDescent="0.2">
      <c r="A3" s="141" t="s">
        <v>28</v>
      </c>
      <c r="B3" s="142"/>
      <c r="C3" s="142"/>
      <c r="D3" s="142"/>
      <c r="E3" s="142"/>
      <c r="F3" s="142"/>
      <c r="G3" s="142"/>
      <c r="H3" s="142"/>
      <c r="I3" s="143"/>
    </row>
    <row r="4" spans="1:9" x14ac:dyDescent="0.2">
      <c r="A4" s="144" t="s">
        <v>29</v>
      </c>
      <c r="B4" s="145"/>
      <c r="C4" s="145"/>
      <c r="D4" s="145"/>
      <c r="E4" s="145"/>
      <c r="F4" s="145"/>
      <c r="G4" s="145"/>
      <c r="H4" s="145"/>
      <c r="I4" s="146"/>
    </row>
    <row r="5" spans="1:9" x14ac:dyDescent="0.2">
      <c r="A5" s="144" t="s">
        <v>30</v>
      </c>
      <c r="B5" s="145"/>
      <c r="C5" s="145"/>
      <c r="D5" s="145"/>
      <c r="E5" s="145"/>
      <c r="F5" s="145"/>
      <c r="G5" s="145"/>
      <c r="H5" s="145"/>
      <c r="I5" s="146"/>
    </row>
    <row r="6" spans="1:9" x14ac:dyDescent="0.2">
      <c r="A6" s="144" t="s">
        <v>31</v>
      </c>
      <c r="B6" s="145"/>
      <c r="C6" s="145"/>
      <c r="D6" s="145"/>
      <c r="E6" s="145"/>
      <c r="F6" s="145"/>
      <c r="G6" s="145"/>
      <c r="H6" s="145"/>
      <c r="I6" s="146"/>
    </row>
    <row r="7" spans="1:9" x14ac:dyDescent="0.2">
      <c r="A7" s="144" t="s">
        <v>32</v>
      </c>
      <c r="B7" s="145"/>
      <c r="C7" s="145"/>
      <c r="D7" s="145"/>
      <c r="E7" s="145"/>
      <c r="F7" s="145"/>
      <c r="G7" s="145"/>
      <c r="H7" s="145"/>
      <c r="I7" s="146"/>
    </row>
    <row r="8" spans="1:9" x14ac:dyDescent="0.2">
      <c r="A8" s="144" t="s">
        <v>33</v>
      </c>
      <c r="B8" s="145"/>
      <c r="C8" s="145"/>
      <c r="D8" s="145"/>
      <c r="E8" s="145"/>
      <c r="F8" s="145"/>
      <c r="G8" s="145"/>
      <c r="H8" s="145"/>
      <c r="I8" s="146"/>
    </row>
    <row r="9" spans="1:9" x14ac:dyDescent="0.2">
      <c r="A9" s="144" t="s">
        <v>34</v>
      </c>
      <c r="B9" s="145"/>
      <c r="C9" s="145"/>
      <c r="D9" s="145"/>
      <c r="E9" s="145"/>
      <c r="F9" s="145"/>
      <c r="G9" s="145"/>
      <c r="H9" s="145"/>
      <c r="I9" s="146"/>
    </row>
    <row r="10" spans="1:9" x14ac:dyDescent="0.2">
      <c r="A10" s="144" t="s">
        <v>35</v>
      </c>
      <c r="B10" s="145"/>
      <c r="C10" s="145"/>
      <c r="D10" s="145"/>
      <c r="E10" s="145"/>
      <c r="F10" s="145"/>
      <c r="G10" s="145"/>
      <c r="H10" s="145"/>
      <c r="I10" s="146"/>
    </row>
    <row r="11" spans="1:9" x14ac:dyDescent="0.2">
      <c r="A11" s="144" t="s">
        <v>36</v>
      </c>
      <c r="B11" s="145"/>
      <c r="C11" s="145"/>
      <c r="D11" s="145"/>
      <c r="E11" s="145"/>
      <c r="F11" s="145"/>
      <c r="G11" s="145"/>
      <c r="H11" s="145"/>
      <c r="I11" s="146"/>
    </row>
    <row r="12" spans="1:9" x14ac:dyDescent="0.2">
      <c r="A12" s="144" t="s">
        <v>37</v>
      </c>
      <c r="B12" s="145"/>
      <c r="C12" s="145"/>
      <c r="D12" s="145"/>
      <c r="E12" s="145"/>
      <c r="F12" s="145"/>
      <c r="G12" s="145"/>
      <c r="H12" s="145"/>
      <c r="I12" s="146"/>
    </row>
    <row r="13" spans="1:9" x14ac:dyDescent="0.2">
      <c r="A13" s="144"/>
      <c r="B13" s="145"/>
      <c r="C13" s="145"/>
      <c r="D13" s="145"/>
      <c r="E13" s="145"/>
      <c r="F13" s="145"/>
      <c r="G13" s="145"/>
      <c r="H13" s="145"/>
      <c r="I13" s="146"/>
    </row>
    <row r="14" spans="1:9" x14ac:dyDescent="0.2">
      <c r="A14" s="144" t="s">
        <v>38</v>
      </c>
      <c r="B14" s="145"/>
      <c r="C14" s="145"/>
      <c r="D14" s="145"/>
      <c r="E14" s="145"/>
      <c r="F14" s="145"/>
      <c r="G14" s="145"/>
      <c r="H14" s="145"/>
      <c r="I14" s="146"/>
    </row>
    <row r="15" spans="1:9" x14ac:dyDescent="0.2">
      <c r="A15" s="144" t="s">
        <v>39</v>
      </c>
      <c r="B15" s="145"/>
      <c r="C15" s="145"/>
      <c r="D15" s="145"/>
      <c r="E15" s="145"/>
      <c r="F15" s="145"/>
      <c r="G15" s="145"/>
      <c r="H15" s="145"/>
      <c r="I15" s="146"/>
    </row>
    <row r="16" spans="1:9" x14ac:dyDescent="0.2">
      <c r="A16" s="144" t="s">
        <v>40</v>
      </c>
      <c r="B16" s="145"/>
      <c r="C16" s="145"/>
      <c r="D16" s="145"/>
      <c r="E16" s="145"/>
      <c r="F16" s="145"/>
      <c r="G16" s="145"/>
      <c r="H16" s="145"/>
      <c r="I16" s="146"/>
    </row>
    <row r="17" spans="1:9" x14ac:dyDescent="0.2">
      <c r="A17" s="144" t="s">
        <v>41</v>
      </c>
      <c r="B17" s="145"/>
      <c r="C17" s="145"/>
      <c r="D17" s="145"/>
      <c r="E17" s="145"/>
      <c r="F17" s="145"/>
      <c r="G17" s="145"/>
      <c r="H17" s="145"/>
      <c r="I17" s="146"/>
    </row>
    <row r="18" spans="1:9" x14ac:dyDescent="0.2">
      <c r="A18" s="144" t="s">
        <v>42</v>
      </c>
      <c r="B18" s="145"/>
      <c r="C18" s="145"/>
      <c r="D18" s="145"/>
      <c r="E18" s="145"/>
      <c r="F18" s="145"/>
      <c r="G18" s="145"/>
      <c r="H18" s="145"/>
      <c r="I18" s="146"/>
    </row>
    <row r="19" spans="1:9" x14ac:dyDescent="0.2">
      <c r="A19" s="144" t="s">
        <v>43</v>
      </c>
      <c r="B19" s="145"/>
      <c r="C19" s="145"/>
      <c r="D19" s="145"/>
      <c r="E19" s="145"/>
      <c r="F19" s="145"/>
      <c r="G19" s="145"/>
      <c r="H19" s="145"/>
      <c r="I19" s="146"/>
    </row>
    <row r="20" spans="1:9" x14ac:dyDescent="0.2">
      <c r="A20" s="144" t="s">
        <v>44</v>
      </c>
      <c r="B20" s="145"/>
      <c r="C20" s="145"/>
      <c r="D20" s="145"/>
      <c r="E20" s="145"/>
      <c r="F20" s="145"/>
      <c r="G20" s="145"/>
      <c r="H20" s="145"/>
      <c r="I20" s="146"/>
    </row>
    <row r="21" spans="1:9" x14ac:dyDescent="0.2">
      <c r="A21" s="144"/>
      <c r="B21" s="145"/>
      <c r="C21" s="145"/>
      <c r="D21" s="145"/>
      <c r="E21" s="145"/>
      <c r="F21" s="145"/>
      <c r="G21" s="145"/>
      <c r="H21" s="145"/>
      <c r="I21" s="146"/>
    </row>
    <row r="22" spans="1:9" x14ac:dyDescent="0.2">
      <c r="A22" s="144" t="s">
        <v>45</v>
      </c>
      <c r="B22" s="145"/>
      <c r="C22" s="145"/>
      <c r="D22" s="145"/>
      <c r="E22" s="145"/>
      <c r="F22" s="145"/>
      <c r="G22" s="145"/>
      <c r="H22" s="145"/>
      <c r="I22" s="146"/>
    </row>
    <row r="23" spans="1:9" x14ac:dyDescent="0.2">
      <c r="A23" s="144" t="s">
        <v>46</v>
      </c>
      <c r="B23" s="145"/>
      <c r="C23" s="145"/>
      <c r="D23" s="145"/>
      <c r="E23" s="145"/>
      <c r="F23" s="145"/>
      <c r="G23" s="145"/>
      <c r="H23" s="145"/>
      <c r="I23" s="146"/>
    </row>
    <row r="24" spans="1:9" x14ac:dyDescent="0.2">
      <c r="A24" s="144" t="s">
        <v>47</v>
      </c>
      <c r="B24" s="145"/>
      <c r="C24" s="145"/>
      <c r="D24" s="145"/>
      <c r="E24" s="145"/>
      <c r="F24" s="145"/>
      <c r="G24" s="145"/>
      <c r="H24" s="145"/>
      <c r="I24" s="146"/>
    </row>
    <row r="25" spans="1:9" x14ac:dyDescent="0.2">
      <c r="A25" s="144" t="s">
        <v>48</v>
      </c>
      <c r="B25" s="145"/>
      <c r="C25" s="145"/>
      <c r="D25" s="145"/>
      <c r="E25" s="145"/>
      <c r="F25" s="145"/>
      <c r="G25" s="145"/>
      <c r="H25" s="145"/>
      <c r="I25" s="146"/>
    </row>
    <row r="26" spans="1:9" x14ac:dyDescent="0.2">
      <c r="A26" s="144"/>
      <c r="B26" s="145"/>
      <c r="C26" s="145" t="s">
        <v>49</v>
      </c>
      <c r="D26" s="145"/>
      <c r="E26" s="145"/>
      <c r="F26" s="145"/>
      <c r="G26" s="145"/>
      <c r="H26" s="145"/>
      <c r="I26" s="146"/>
    </row>
    <row r="27" spans="1:9" x14ac:dyDescent="0.2">
      <c r="A27" s="144" t="s">
        <v>50</v>
      </c>
      <c r="B27" s="145"/>
      <c r="C27" s="145"/>
      <c r="D27" s="145"/>
      <c r="E27" s="145"/>
      <c r="F27" s="145"/>
      <c r="G27" s="145"/>
      <c r="H27" s="145"/>
      <c r="I27" s="146"/>
    </row>
    <row r="28" spans="1:9" x14ac:dyDescent="0.2">
      <c r="A28" s="144" t="s">
        <v>51</v>
      </c>
      <c r="B28" s="145"/>
      <c r="C28" s="145"/>
      <c r="D28" s="145"/>
      <c r="E28" s="145"/>
      <c r="F28" s="145"/>
      <c r="G28" s="145"/>
      <c r="H28" s="145"/>
      <c r="I28" s="146"/>
    </row>
    <row r="29" spans="1:9" x14ac:dyDescent="0.2">
      <c r="A29" s="144" t="s">
        <v>52</v>
      </c>
      <c r="B29" s="145"/>
      <c r="C29" s="145"/>
      <c r="D29" s="145"/>
      <c r="E29" s="145"/>
      <c r="F29" s="145"/>
      <c r="G29" s="145"/>
      <c r="H29" s="145"/>
      <c r="I29" s="146"/>
    </row>
    <row r="30" spans="1:9" x14ac:dyDescent="0.2">
      <c r="A30" s="144" t="s">
        <v>53</v>
      </c>
      <c r="B30" s="145"/>
      <c r="C30" s="145"/>
      <c r="D30" s="145"/>
      <c r="E30" s="145"/>
      <c r="F30" s="145"/>
      <c r="G30" s="145"/>
      <c r="H30" s="145"/>
      <c r="I30" s="146"/>
    </row>
    <row r="31" spans="1:9" x14ac:dyDescent="0.2">
      <c r="A31" s="144" t="s">
        <v>54</v>
      </c>
      <c r="B31" s="145"/>
      <c r="C31" s="145"/>
      <c r="D31" s="145"/>
      <c r="E31" s="145"/>
      <c r="F31" s="145"/>
      <c r="G31" s="145"/>
      <c r="H31" s="145"/>
      <c r="I31" s="146"/>
    </row>
    <row r="32" spans="1:9" x14ac:dyDescent="0.2">
      <c r="A32" s="144" t="s">
        <v>55</v>
      </c>
      <c r="B32" s="145"/>
      <c r="C32" s="145"/>
      <c r="D32" s="145"/>
      <c r="E32" s="145"/>
      <c r="F32" s="145"/>
      <c r="G32" s="145"/>
      <c r="H32" s="145"/>
      <c r="I32" s="146"/>
    </row>
    <row r="33" spans="1:9" ht="13.5" thickBot="1" x14ac:dyDescent="0.25">
      <c r="A33" s="147" t="s">
        <v>56</v>
      </c>
      <c r="B33" s="148"/>
      <c r="C33" s="148"/>
      <c r="D33" s="148"/>
      <c r="E33" s="148"/>
      <c r="F33" s="148"/>
      <c r="G33" s="148"/>
      <c r="H33" s="148"/>
      <c r="I33" s="149"/>
    </row>
    <row r="34" spans="1:9" ht="13.5" thickTop="1" x14ac:dyDescent="0.2"/>
    <row r="35" spans="1:9" x14ac:dyDescent="0.2">
      <c r="A35" s="140" t="s">
        <v>57</v>
      </c>
    </row>
    <row r="36" spans="1:9" ht="6" customHeight="1" thickBot="1" x14ac:dyDescent="0.25"/>
    <row r="37" spans="1:9" ht="13.5" thickTop="1" x14ac:dyDescent="0.2">
      <c r="A37" s="141" t="s">
        <v>58</v>
      </c>
      <c r="B37" s="142"/>
      <c r="C37" s="142"/>
      <c r="D37" s="142"/>
      <c r="E37" s="142"/>
      <c r="F37" s="142"/>
      <c r="G37" s="142"/>
      <c r="H37" s="142"/>
      <c r="I37" s="143"/>
    </row>
    <row r="38" spans="1:9" x14ac:dyDescent="0.2">
      <c r="A38" s="144" t="s">
        <v>59</v>
      </c>
      <c r="B38" s="145"/>
      <c r="C38" s="145"/>
      <c r="D38" s="145"/>
      <c r="E38" s="145"/>
      <c r="F38" s="145"/>
      <c r="G38" s="145"/>
      <c r="H38" s="145"/>
      <c r="I38" s="146"/>
    </row>
    <row r="39" spans="1:9" x14ac:dyDescent="0.2">
      <c r="A39" s="144" t="s">
        <v>60</v>
      </c>
      <c r="B39" s="145"/>
      <c r="C39" s="145"/>
      <c r="D39" s="145"/>
      <c r="E39" s="145"/>
      <c r="F39" s="145"/>
      <c r="G39" s="145"/>
      <c r="H39" s="145"/>
      <c r="I39" s="146"/>
    </row>
    <row r="40" spans="1:9" x14ac:dyDescent="0.2">
      <c r="A40" s="144" t="s">
        <v>61</v>
      </c>
      <c r="B40" s="145"/>
      <c r="C40" s="145"/>
      <c r="D40" s="145"/>
      <c r="E40" s="145"/>
      <c r="F40" s="145"/>
      <c r="G40" s="145"/>
      <c r="H40" s="145"/>
      <c r="I40" s="146"/>
    </row>
    <row r="41" spans="1:9" x14ac:dyDescent="0.2">
      <c r="A41" s="144" t="s">
        <v>62</v>
      </c>
      <c r="B41" s="145"/>
      <c r="C41" s="145"/>
      <c r="D41" s="145"/>
      <c r="E41" s="145"/>
      <c r="F41" s="145"/>
      <c r="G41" s="145"/>
      <c r="H41" s="145"/>
      <c r="I41" s="146"/>
    </row>
    <row r="42" spans="1:9" x14ac:dyDescent="0.2">
      <c r="A42" s="144" t="s">
        <v>63</v>
      </c>
      <c r="B42" s="145"/>
      <c r="C42" s="145"/>
      <c r="D42" s="145"/>
      <c r="E42" s="145"/>
      <c r="F42" s="145"/>
      <c r="G42" s="145"/>
      <c r="H42" s="145"/>
      <c r="I42" s="146"/>
    </row>
    <row r="43" spans="1:9" x14ac:dyDescent="0.2">
      <c r="A43" s="144" t="s">
        <v>64</v>
      </c>
      <c r="B43" s="145"/>
      <c r="C43" s="145"/>
      <c r="D43" s="145"/>
      <c r="E43" s="145"/>
      <c r="F43" s="145"/>
      <c r="G43" s="145"/>
      <c r="H43" s="145"/>
      <c r="I43" s="146"/>
    </row>
    <row r="44" spans="1:9" x14ac:dyDescent="0.2">
      <c r="A44" s="144" t="s">
        <v>65</v>
      </c>
      <c r="B44" s="145"/>
      <c r="C44" s="145"/>
      <c r="D44" s="145"/>
      <c r="E44" s="145"/>
      <c r="F44" s="145"/>
      <c r="G44" s="145"/>
      <c r="H44" s="145"/>
      <c r="I44" s="146"/>
    </row>
    <row r="45" spans="1:9" x14ac:dyDescent="0.2">
      <c r="A45" s="144" t="s">
        <v>66</v>
      </c>
      <c r="B45" s="145"/>
      <c r="C45" s="145"/>
      <c r="D45" s="145"/>
      <c r="E45" s="145"/>
      <c r="F45" s="145"/>
      <c r="G45" s="145"/>
      <c r="H45" s="145"/>
      <c r="I45" s="146"/>
    </row>
    <row r="46" spans="1:9" x14ac:dyDescent="0.2">
      <c r="A46" s="144" t="s">
        <v>67</v>
      </c>
      <c r="B46" s="145"/>
      <c r="C46" s="145"/>
      <c r="D46" s="145"/>
      <c r="E46" s="145"/>
      <c r="F46" s="145"/>
      <c r="G46" s="145"/>
      <c r="H46" s="145"/>
      <c r="I46" s="146"/>
    </row>
    <row r="47" spans="1:9" x14ac:dyDescent="0.2">
      <c r="A47" s="144" t="s">
        <v>68</v>
      </c>
      <c r="B47" s="145"/>
      <c r="C47" s="145"/>
      <c r="D47" s="145"/>
      <c r="E47" s="145"/>
      <c r="F47" s="145"/>
      <c r="G47" s="145"/>
      <c r="H47" s="145"/>
      <c r="I47" s="146"/>
    </row>
    <row r="48" spans="1:9" x14ac:dyDescent="0.2">
      <c r="A48" s="144" t="s">
        <v>69</v>
      </c>
      <c r="B48" s="145"/>
      <c r="C48" s="145"/>
      <c r="D48" s="145"/>
      <c r="E48" s="145"/>
      <c r="F48" s="145"/>
      <c r="G48" s="145"/>
      <c r="H48" s="145"/>
      <c r="I48" s="146"/>
    </row>
    <row r="49" spans="1:9" x14ac:dyDescent="0.2">
      <c r="A49" s="144"/>
      <c r="B49" s="145"/>
      <c r="C49" s="145"/>
      <c r="D49" s="145"/>
      <c r="E49" s="145"/>
      <c r="F49" s="145"/>
      <c r="G49" s="145"/>
      <c r="H49" s="145"/>
      <c r="I49" s="146"/>
    </row>
    <row r="50" spans="1:9" x14ac:dyDescent="0.2">
      <c r="A50" s="144" t="s">
        <v>70</v>
      </c>
      <c r="B50" s="145"/>
      <c r="C50" s="145"/>
      <c r="D50" s="145"/>
      <c r="E50" s="145"/>
      <c r="F50" s="145"/>
      <c r="G50" s="145"/>
      <c r="H50" s="145"/>
      <c r="I50" s="146"/>
    </row>
    <row r="51" spans="1:9" x14ac:dyDescent="0.2">
      <c r="A51" s="144" t="s">
        <v>71</v>
      </c>
      <c r="B51" s="145"/>
      <c r="C51" s="145"/>
      <c r="D51" s="145"/>
      <c r="E51" s="145"/>
      <c r="F51" s="145"/>
      <c r="G51" s="145"/>
      <c r="H51" s="145"/>
      <c r="I51" s="146"/>
    </row>
    <row r="52" spans="1:9" x14ac:dyDescent="0.2">
      <c r="A52" s="144" t="s">
        <v>72</v>
      </c>
      <c r="B52" s="145"/>
      <c r="C52" s="145"/>
      <c r="D52" s="145"/>
      <c r="E52" s="145"/>
      <c r="F52" s="145"/>
      <c r="G52" s="145"/>
      <c r="H52" s="145"/>
      <c r="I52" s="146"/>
    </row>
    <row r="53" spans="1:9" x14ac:dyDescent="0.2">
      <c r="A53" s="144" t="s">
        <v>73</v>
      </c>
      <c r="B53" s="145"/>
      <c r="C53" s="145"/>
      <c r="D53" s="145"/>
      <c r="E53" s="145"/>
      <c r="F53" s="145"/>
      <c r="G53" s="145"/>
      <c r="H53" s="145"/>
      <c r="I53" s="146"/>
    </row>
    <row r="54" spans="1:9" x14ac:dyDescent="0.2">
      <c r="A54" s="144" t="s">
        <v>74</v>
      </c>
      <c r="B54" s="145"/>
      <c r="C54" s="145"/>
      <c r="D54" s="145"/>
      <c r="E54" s="145"/>
      <c r="F54" s="145"/>
      <c r="G54" s="145"/>
      <c r="H54" s="145"/>
      <c r="I54" s="146"/>
    </row>
    <row r="55" spans="1:9" x14ac:dyDescent="0.2">
      <c r="A55" s="144"/>
      <c r="B55" s="145"/>
      <c r="C55" s="145"/>
      <c r="D55" s="145"/>
      <c r="E55" s="145"/>
      <c r="F55" s="145"/>
      <c r="G55" s="145"/>
      <c r="H55" s="145"/>
      <c r="I55" s="146"/>
    </row>
    <row r="56" spans="1:9" x14ac:dyDescent="0.2">
      <c r="A56" s="144" t="s">
        <v>75</v>
      </c>
      <c r="B56" s="145"/>
      <c r="C56" s="145"/>
      <c r="D56" s="145"/>
      <c r="E56" s="145"/>
      <c r="F56" s="145"/>
      <c r="G56" s="145"/>
      <c r="H56" s="145"/>
      <c r="I56" s="146"/>
    </row>
    <row r="57" spans="1:9" x14ac:dyDescent="0.2">
      <c r="A57" s="144" t="s">
        <v>76</v>
      </c>
      <c r="B57" s="145"/>
      <c r="C57" s="145"/>
      <c r="D57" s="145"/>
      <c r="E57" s="145"/>
      <c r="F57" s="145"/>
      <c r="G57" s="145"/>
      <c r="H57" s="145"/>
      <c r="I57" s="146"/>
    </row>
    <row r="58" spans="1:9" x14ac:dyDescent="0.2">
      <c r="A58" s="144" t="s">
        <v>77</v>
      </c>
      <c r="B58" s="145"/>
      <c r="C58" s="145"/>
      <c r="D58" s="145"/>
      <c r="E58" s="145"/>
      <c r="F58" s="145"/>
      <c r="G58" s="145"/>
      <c r="H58" s="145"/>
      <c r="I58" s="146"/>
    </row>
    <row r="59" spans="1:9" x14ac:dyDescent="0.2">
      <c r="A59" s="144" t="s">
        <v>78</v>
      </c>
      <c r="B59" s="145"/>
      <c r="C59" s="145"/>
      <c r="D59" s="145"/>
      <c r="E59" s="145"/>
      <c r="F59" s="145"/>
      <c r="G59" s="145"/>
      <c r="H59" s="145"/>
      <c r="I59" s="146"/>
    </row>
    <row r="60" spans="1:9" x14ac:dyDescent="0.2">
      <c r="A60" s="144" t="s">
        <v>79</v>
      </c>
      <c r="B60" s="145"/>
      <c r="C60" s="145"/>
      <c r="D60" s="145"/>
      <c r="E60" s="145"/>
      <c r="F60" s="145"/>
      <c r="G60" s="145"/>
      <c r="H60" s="145"/>
      <c r="I60" s="146"/>
    </row>
    <row r="61" spans="1:9" x14ac:dyDescent="0.2">
      <c r="A61" s="144" t="s">
        <v>80</v>
      </c>
      <c r="B61" s="145"/>
      <c r="C61" s="145"/>
      <c r="D61" s="145"/>
      <c r="E61" s="145"/>
      <c r="F61" s="145"/>
      <c r="G61" s="145"/>
      <c r="H61" s="145"/>
      <c r="I61" s="146"/>
    </row>
    <row r="62" spans="1:9" x14ac:dyDescent="0.2">
      <c r="A62" s="144" t="s">
        <v>81</v>
      </c>
      <c r="B62" s="145"/>
      <c r="C62" s="145"/>
      <c r="D62" s="145"/>
      <c r="E62" s="145"/>
      <c r="F62" s="145"/>
      <c r="G62" s="145"/>
      <c r="H62" s="145"/>
      <c r="I62" s="146"/>
    </row>
    <row r="63" spans="1:9" ht="13.5" thickBot="1" x14ac:dyDescent="0.25">
      <c r="A63" s="147" t="s">
        <v>82</v>
      </c>
      <c r="B63" s="148"/>
      <c r="C63" s="148"/>
      <c r="D63" s="148"/>
      <c r="E63" s="148"/>
      <c r="F63" s="148"/>
      <c r="G63" s="148"/>
      <c r="H63" s="148"/>
      <c r="I63" s="149"/>
    </row>
    <row r="64" spans="1:9" ht="13.5" thickTop="1" x14ac:dyDescent="0.2"/>
  </sheetData>
  <pageMargins left="0.75" right="0.75" top="1" bottom="1" header="0.5" footer="0.5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I44"/>
  <sheetViews>
    <sheetView showGridLines="0" tabSelected="1" workbookViewId="0"/>
  </sheetViews>
  <sheetFormatPr defaultRowHeight="12.75" x14ac:dyDescent="0.2"/>
  <cols>
    <col min="1" max="1" width="14.85546875" style="89" customWidth="1"/>
    <col min="2" max="6" width="9.140625" style="89"/>
    <col min="7" max="7" width="0.85546875" style="89" customWidth="1"/>
    <col min="8" max="16384" width="9.140625" style="89"/>
  </cols>
  <sheetData>
    <row r="1" spans="1:9" ht="13.5" thickBot="1" x14ac:dyDescent="0.25">
      <c r="A1" s="88" t="s">
        <v>83</v>
      </c>
    </row>
    <row r="2" spans="1:9" ht="13.5" thickTop="1" x14ac:dyDescent="0.2">
      <c r="A2" s="90" t="s">
        <v>84</v>
      </c>
      <c r="B2" s="91"/>
      <c r="C2" s="91"/>
      <c r="D2" s="91"/>
      <c r="E2" s="91"/>
      <c r="F2" s="91"/>
      <c r="G2" s="91"/>
      <c r="H2" s="92"/>
    </row>
    <row r="3" spans="1:9" ht="13.5" thickBot="1" x14ac:dyDescent="0.25">
      <c r="A3" s="93" t="s">
        <v>85</v>
      </c>
      <c r="B3" s="94"/>
      <c r="C3" s="94"/>
      <c r="D3" s="94"/>
      <c r="E3" s="94"/>
      <c r="F3" s="94"/>
      <c r="G3" s="94"/>
      <c r="H3" s="95"/>
    </row>
    <row r="4" spans="1:9" ht="5.25" customHeight="1" thickTop="1" thickBot="1" x14ac:dyDescent="0.25">
      <c r="A4" s="96"/>
    </row>
    <row r="5" spans="1:9" ht="14.25" thickTop="1" thickBot="1" x14ac:dyDescent="0.25">
      <c r="A5" s="97"/>
      <c r="B5" s="98" t="s">
        <v>86</v>
      </c>
      <c r="C5" s="98" t="s">
        <v>87</v>
      </c>
      <c r="D5" s="98" t="s">
        <v>88</v>
      </c>
      <c r="E5" s="98" t="s">
        <v>89</v>
      </c>
      <c r="F5" s="98" t="s">
        <v>90</v>
      </c>
      <c r="G5" s="99"/>
      <c r="H5" s="100" t="s">
        <v>91</v>
      </c>
    </row>
    <row r="6" spans="1:9" ht="14.25" thickTop="1" thickBot="1" x14ac:dyDescent="0.25">
      <c r="A6" s="101" t="s">
        <v>92</v>
      </c>
      <c r="B6" s="102">
        <v>0.2</v>
      </c>
      <c r="C6" s="103">
        <v>0.2</v>
      </c>
      <c r="D6" s="103">
        <v>0.2</v>
      </c>
      <c r="E6" s="103">
        <v>0.2</v>
      </c>
      <c r="F6" s="104">
        <v>0.2</v>
      </c>
      <c r="G6" s="105"/>
      <c r="H6" s="106">
        <f>SUM(B6:F6)</f>
        <v>1</v>
      </c>
    </row>
    <row r="7" spans="1:9" ht="13.5" thickTop="1" x14ac:dyDescent="0.2">
      <c r="A7" s="107" t="s">
        <v>93</v>
      </c>
      <c r="B7" s="108">
        <v>7.0000000000000007E-2</v>
      </c>
      <c r="C7" s="108">
        <v>0.08</v>
      </c>
      <c r="D7" s="108">
        <v>9.5000000000000001E-2</v>
      </c>
      <c r="E7" s="108">
        <v>6.5000000000000002E-2</v>
      </c>
      <c r="F7" s="108">
        <v>0.14000000000000001</v>
      </c>
      <c r="G7" s="105"/>
      <c r="H7" s="109"/>
    </row>
    <row r="8" spans="1:9" ht="13.5" thickBot="1" x14ac:dyDescent="0.25">
      <c r="A8" s="110" t="s">
        <v>94</v>
      </c>
      <c r="B8" s="111">
        <v>0</v>
      </c>
      <c r="C8" s="111">
        <v>0</v>
      </c>
      <c r="D8" s="111">
        <v>0</v>
      </c>
      <c r="E8" s="111">
        <v>0</v>
      </c>
      <c r="F8" s="111">
        <v>0</v>
      </c>
      <c r="G8" s="112"/>
      <c r="H8" s="113"/>
    </row>
    <row r="9" spans="1:9" ht="14.25" thickTop="1" thickBot="1" x14ac:dyDescent="0.25"/>
    <row r="10" spans="1:9" ht="13.5" thickTop="1" x14ac:dyDescent="0.2">
      <c r="A10" s="114" t="s">
        <v>95</v>
      </c>
      <c r="B10" s="115"/>
      <c r="C10" s="99"/>
      <c r="D10" s="99"/>
      <c r="E10" s="99"/>
      <c r="F10" s="116"/>
    </row>
    <row r="11" spans="1:9" x14ac:dyDescent="0.2">
      <c r="A11" s="117"/>
      <c r="B11" s="118" t="s">
        <v>86</v>
      </c>
      <c r="C11" s="118" t="s">
        <v>87</v>
      </c>
      <c r="D11" s="118" t="s">
        <v>88</v>
      </c>
      <c r="E11" s="118" t="s">
        <v>89</v>
      </c>
      <c r="F11" s="119" t="s">
        <v>90</v>
      </c>
    </row>
    <row r="12" spans="1:9" x14ac:dyDescent="0.2">
      <c r="A12" s="120" t="s">
        <v>86</v>
      </c>
      <c r="B12" s="108">
        <v>2.5000000000000001E-2</v>
      </c>
      <c r="C12" s="108">
        <v>1E-3</v>
      </c>
      <c r="D12" s="108">
        <v>0.01</v>
      </c>
      <c r="E12" s="108">
        <v>-5.0000000000000001E-3</v>
      </c>
      <c r="F12" s="121">
        <v>1.6E-2</v>
      </c>
    </row>
    <row r="13" spans="1:9" ht="13.5" thickBot="1" x14ac:dyDescent="0.25">
      <c r="A13" s="120" t="s">
        <v>87</v>
      </c>
      <c r="B13" s="108">
        <f>C12</f>
        <v>1E-3</v>
      </c>
      <c r="C13" s="108">
        <v>1.0999999999999999E-2</v>
      </c>
      <c r="D13" s="108">
        <v>-1E-3</v>
      </c>
      <c r="E13" s="108">
        <v>1.2E-2</v>
      </c>
      <c r="F13" s="121">
        <v>-8.5000000000000006E-3</v>
      </c>
    </row>
    <row r="14" spans="1:9" ht="14.25" thickTop="1" thickBot="1" x14ac:dyDescent="0.25">
      <c r="A14" s="120" t="s">
        <v>88</v>
      </c>
      <c r="B14" s="108">
        <f>D12</f>
        <v>0.01</v>
      </c>
      <c r="C14" s="108">
        <f>D13</f>
        <v>-1E-3</v>
      </c>
      <c r="D14" s="122">
        <v>1.2E-2</v>
      </c>
      <c r="E14" s="108">
        <v>6.4999999999999997E-3</v>
      </c>
      <c r="F14" s="121">
        <v>7.4999999999999997E-3</v>
      </c>
      <c r="H14" s="123" t="s">
        <v>96</v>
      </c>
      <c r="I14" s="106">
        <f ca="1">_xll.QUADPRODUCT(Allocations,B8:F8,Stock_Covariances)</f>
        <v>6.7600000000000004E-3</v>
      </c>
    </row>
    <row r="15" spans="1:9" ht="14.25" thickTop="1" thickBot="1" x14ac:dyDescent="0.25">
      <c r="A15" s="120" t="s">
        <v>89</v>
      </c>
      <c r="B15" s="108">
        <f>E12</f>
        <v>-5.0000000000000001E-3</v>
      </c>
      <c r="C15" s="108">
        <f>E13</f>
        <v>1.2E-2</v>
      </c>
      <c r="D15" s="108">
        <f>E14</f>
        <v>6.4999999999999997E-3</v>
      </c>
      <c r="E15" s="108">
        <v>4.0000000000000001E-3</v>
      </c>
      <c r="F15" s="121">
        <v>0.01</v>
      </c>
      <c r="H15" s="101" t="s">
        <v>97</v>
      </c>
      <c r="I15" s="121">
        <f ca="1">SQRT(I14)</f>
        <v>8.2219219164377869E-2</v>
      </c>
    </row>
    <row r="16" spans="1:9" ht="14.25" thickTop="1" thickBot="1" x14ac:dyDescent="0.25">
      <c r="A16" s="124" t="s">
        <v>90</v>
      </c>
      <c r="B16" s="125">
        <f>F12</f>
        <v>1.6E-2</v>
      </c>
      <c r="C16" s="125">
        <f>F13</f>
        <v>-8.5000000000000006E-3</v>
      </c>
      <c r="D16" s="125">
        <f>F14</f>
        <v>7.4999999999999997E-3</v>
      </c>
      <c r="E16" s="125">
        <f>F15</f>
        <v>0.01</v>
      </c>
      <c r="F16" s="126">
        <v>0.02</v>
      </c>
      <c r="H16" s="127" t="s">
        <v>98</v>
      </c>
      <c r="I16" s="128">
        <f>SUMPRODUCT(Allocations,Stock_Returns)</f>
        <v>0.09</v>
      </c>
    </row>
    <row r="17" spans="1:9" ht="13.5" thickTop="1" x14ac:dyDescent="0.2"/>
    <row r="18" spans="1:9" ht="13.5" thickBot="1" x14ac:dyDescent="0.25"/>
    <row r="19" spans="1:9" ht="13.5" thickTop="1" x14ac:dyDescent="0.2">
      <c r="A19" s="161" t="s">
        <v>99</v>
      </c>
      <c r="B19" s="150"/>
      <c r="C19" s="151"/>
      <c r="D19" s="151"/>
      <c r="E19" s="151"/>
      <c r="F19" s="151"/>
      <c r="G19" s="151"/>
      <c r="H19" s="151"/>
      <c r="I19" s="152"/>
    </row>
    <row r="20" spans="1:9" x14ac:dyDescent="0.2">
      <c r="A20" s="153" t="s">
        <v>100</v>
      </c>
      <c r="B20" s="154"/>
      <c r="C20" s="155"/>
      <c r="D20" s="155"/>
      <c r="E20" s="155"/>
      <c r="F20" s="155"/>
      <c r="G20" s="155"/>
      <c r="H20" s="155"/>
      <c r="I20" s="156"/>
    </row>
    <row r="21" spans="1:9" x14ac:dyDescent="0.2">
      <c r="A21" s="153" t="s">
        <v>101</v>
      </c>
      <c r="B21" s="154"/>
      <c r="C21" s="155"/>
      <c r="D21" s="155"/>
      <c r="E21" s="155"/>
      <c r="F21" s="155"/>
      <c r="G21" s="155"/>
      <c r="H21" s="155"/>
      <c r="I21" s="156"/>
    </row>
    <row r="22" spans="1:9" x14ac:dyDescent="0.2">
      <c r="A22" s="153" t="s">
        <v>102</v>
      </c>
      <c r="B22" s="154"/>
      <c r="C22" s="155"/>
      <c r="D22" s="155"/>
      <c r="E22" s="155"/>
      <c r="F22" s="155"/>
      <c r="G22" s="155"/>
      <c r="H22" s="155"/>
      <c r="I22" s="156"/>
    </row>
    <row r="23" spans="1:9" x14ac:dyDescent="0.2">
      <c r="A23" s="153" t="s">
        <v>103</v>
      </c>
      <c r="B23" s="154"/>
      <c r="C23" s="155"/>
      <c r="D23" s="155"/>
      <c r="E23" s="155"/>
      <c r="F23" s="155"/>
      <c r="G23" s="155"/>
      <c r="H23" s="155"/>
      <c r="I23" s="156"/>
    </row>
    <row r="24" spans="1:9" x14ac:dyDescent="0.2">
      <c r="A24" s="162" t="s">
        <v>104</v>
      </c>
      <c r="B24" s="154"/>
      <c r="C24" s="155"/>
      <c r="D24" s="155"/>
      <c r="E24" s="155"/>
      <c r="F24" s="155"/>
      <c r="G24" s="155"/>
      <c r="H24" s="155"/>
      <c r="I24" s="156"/>
    </row>
    <row r="25" spans="1:9" x14ac:dyDescent="0.2">
      <c r="A25" s="153" t="s">
        <v>105</v>
      </c>
      <c r="B25" s="154"/>
      <c r="C25" s="155"/>
      <c r="D25" s="155"/>
      <c r="E25" s="155"/>
      <c r="F25" s="155"/>
      <c r="G25" s="155"/>
      <c r="H25" s="155"/>
      <c r="I25" s="156"/>
    </row>
    <row r="26" spans="1:9" x14ac:dyDescent="0.2">
      <c r="A26" s="153" t="s">
        <v>106</v>
      </c>
      <c r="B26" s="154"/>
      <c r="C26" s="155"/>
      <c r="D26" s="155"/>
      <c r="E26" s="155"/>
      <c r="F26" s="155"/>
      <c r="G26" s="155"/>
      <c r="H26" s="155"/>
      <c r="I26" s="156"/>
    </row>
    <row r="27" spans="1:9" x14ac:dyDescent="0.2">
      <c r="A27" s="153" t="s">
        <v>107</v>
      </c>
      <c r="B27" s="154"/>
      <c r="C27" s="155"/>
      <c r="D27" s="155"/>
      <c r="E27" s="155"/>
      <c r="F27" s="155"/>
      <c r="G27" s="155"/>
      <c r="H27" s="155"/>
      <c r="I27" s="156"/>
    </row>
    <row r="28" spans="1:9" x14ac:dyDescent="0.2">
      <c r="A28" s="153" t="s">
        <v>108</v>
      </c>
      <c r="B28" s="154"/>
      <c r="C28" s="155"/>
      <c r="D28" s="155"/>
      <c r="E28" s="155"/>
      <c r="F28" s="155"/>
      <c r="G28" s="155"/>
      <c r="H28" s="155"/>
      <c r="I28" s="156"/>
    </row>
    <row r="29" spans="1:9" x14ac:dyDescent="0.2">
      <c r="A29" s="153"/>
      <c r="B29" s="154" t="s">
        <v>109</v>
      </c>
      <c r="C29" s="155"/>
      <c r="D29" s="155"/>
      <c r="E29" s="155"/>
      <c r="F29" s="155"/>
      <c r="G29" s="155"/>
      <c r="H29" s="155"/>
      <c r="I29" s="156"/>
    </row>
    <row r="30" spans="1:9" x14ac:dyDescent="0.2">
      <c r="A30" s="153"/>
      <c r="B30" s="154" t="s">
        <v>110</v>
      </c>
      <c r="C30" s="155"/>
      <c r="D30" s="155"/>
      <c r="E30" s="155"/>
      <c r="F30" s="155"/>
      <c r="G30" s="155"/>
      <c r="H30" s="155"/>
      <c r="I30" s="156"/>
    </row>
    <row r="31" spans="1:9" x14ac:dyDescent="0.2">
      <c r="A31" s="153" t="s">
        <v>111</v>
      </c>
      <c r="B31" s="154"/>
      <c r="C31" s="155"/>
      <c r="D31" s="155"/>
      <c r="E31" s="155"/>
      <c r="F31" s="155"/>
      <c r="G31" s="155"/>
      <c r="H31" s="155"/>
      <c r="I31" s="156"/>
    </row>
    <row r="32" spans="1:9" x14ac:dyDescent="0.2">
      <c r="A32" s="153" t="s">
        <v>112</v>
      </c>
      <c r="B32" s="154"/>
      <c r="C32" s="155"/>
      <c r="D32" s="155"/>
      <c r="E32" s="155"/>
      <c r="F32" s="155"/>
      <c r="G32" s="155"/>
      <c r="H32" s="155"/>
      <c r="I32" s="156"/>
    </row>
    <row r="33" spans="1:9" x14ac:dyDescent="0.2">
      <c r="A33" s="153"/>
      <c r="B33" s="154" t="s">
        <v>113</v>
      </c>
      <c r="C33" s="155"/>
      <c r="D33" s="155"/>
      <c r="E33" s="155"/>
      <c r="F33" s="155"/>
      <c r="G33" s="155"/>
      <c r="H33" s="155"/>
      <c r="I33" s="156"/>
    </row>
    <row r="34" spans="1:9" x14ac:dyDescent="0.2">
      <c r="A34" s="153" t="s">
        <v>114</v>
      </c>
      <c r="B34" s="154"/>
      <c r="C34" s="155"/>
      <c r="D34" s="155"/>
      <c r="E34" s="155"/>
      <c r="F34" s="155"/>
      <c r="G34" s="155"/>
      <c r="H34" s="155"/>
      <c r="I34" s="156"/>
    </row>
    <row r="35" spans="1:9" x14ac:dyDescent="0.2">
      <c r="A35" s="153" t="s">
        <v>115</v>
      </c>
      <c r="B35" s="154"/>
      <c r="C35" s="155"/>
      <c r="D35" s="155"/>
      <c r="E35" s="155"/>
      <c r="F35" s="155"/>
      <c r="G35" s="155"/>
      <c r="H35" s="155"/>
      <c r="I35" s="156"/>
    </row>
    <row r="36" spans="1:9" x14ac:dyDescent="0.2">
      <c r="A36" s="153"/>
      <c r="B36" s="154"/>
      <c r="C36" s="155"/>
      <c r="D36" s="155"/>
      <c r="E36" s="155"/>
      <c r="F36" s="155"/>
      <c r="G36" s="155"/>
      <c r="H36" s="155"/>
      <c r="I36" s="156"/>
    </row>
    <row r="37" spans="1:9" x14ac:dyDescent="0.2">
      <c r="A37" s="162" t="s">
        <v>116</v>
      </c>
      <c r="B37" s="154"/>
      <c r="C37" s="155"/>
      <c r="D37" s="155"/>
      <c r="E37" s="155"/>
      <c r="F37" s="155"/>
      <c r="G37" s="155"/>
      <c r="H37" s="155"/>
      <c r="I37" s="156"/>
    </row>
    <row r="38" spans="1:9" x14ac:dyDescent="0.2">
      <c r="A38" s="153" t="s">
        <v>117</v>
      </c>
      <c r="B38" s="154"/>
      <c r="C38" s="155"/>
      <c r="D38" s="155"/>
      <c r="E38" s="155"/>
      <c r="F38" s="155"/>
      <c r="G38" s="155"/>
      <c r="H38" s="155"/>
      <c r="I38" s="156"/>
    </row>
    <row r="39" spans="1:9" x14ac:dyDescent="0.2">
      <c r="A39" s="153" t="s">
        <v>118</v>
      </c>
      <c r="B39" s="154"/>
      <c r="C39" s="155"/>
      <c r="D39" s="155"/>
      <c r="E39" s="155"/>
      <c r="F39" s="155"/>
      <c r="G39" s="155"/>
      <c r="H39" s="155"/>
      <c r="I39" s="156"/>
    </row>
    <row r="40" spans="1:9" x14ac:dyDescent="0.2">
      <c r="A40" s="153" t="s">
        <v>119</v>
      </c>
      <c r="B40" s="154"/>
      <c r="C40" s="155"/>
      <c r="D40" s="155"/>
      <c r="E40" s="155"/>
      <c r="F40" s="155"/>
      <c r="G40" s="155"/>
      <c r="H40" s="155"/>
      <c r="I40" s="156"/>
    </row>
    <row r="41" spans="1:9" x14ac:dyDescent="0.2">
      <c r="A41" s="153" t="s">
        <v>120</v>
      </c>
      <c r="B41" s="154"/>
      <c r="C41" s="155"/>
      <c r="D41" s="155"/>
      <c r="E41" s="155"/>
      <c r="F41" s="155"/>
      <c r="G41" s="155"/>
      <c r="H41" s="155"/>
      <c r="I41" s="156"/>
    </row>
    <row r="42" spans="1:9" x14ac:dyDescent="0.2">
      <c r="A42" s="153" t="s">
        <v>121</v>
      </c>
      <c r="B42" s="154"/>
      <c r="C42" s="155"/>
      <c r="D42" s="155"/>
      <c r="E42" s="155"/>
      <c r="F42" s="155"/>
      <c r="G42" s="155"/>
      <c r="H42" s="155"/>
      <c r="I42" s="156"/>
    </row>
    <row r="43" spans="1:9" ht="13.5" thickBot="1" x14ac:dyDescent="0.25">
      <c r="A43" s="157" t="s">
        <v>122</v>
      </c>
      <c r="B43" s="158"/>
      <c r="C43" s="159"/>
      <c r="D43" s="159"/>
      <c r="E43" s="159"/>
      <c r="F43" s="159"/>
      <c r="G43" s="159"/>
      <c r="H43" s="159"/>
      <c r="I43" s="160"/>
    </row>
    <row r="44" spans="1:9" ht="13.5" thickTop="1" x14ac:dyDescent="0.2"/>
  </sheetData>
  <printOptions gridLinesSet="0"/>
  <pageMargins left="0.75" right="0.75" top="1" bottom="1" header="0.5" footer="0.5"/>
  <pageSetup orientation="portrait" horizontalDpi="4294967292" verticalDpi="4294967292" copies="0"/>
  <headerFooter alignWithMargins="0">
    <oddHeader>&amp;F</oddHeader>
    <oddFooter>Page &amp;P</oddFoot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I58"/>
  <sheetViews>
    <sheetView showGridLines="0" workbookViewId="0"/>
  </sheetViews>
  <sheetFormatPr defaultRowHeight="12.75" x14ac:dyDescent="0.2"/>
  <cols>
    <col min="1" max="1" width="14.85546875" customWidth="1"/>
    <col min="2" max="2" width="10.140625" customWidth="1"/>
    <col min="7" max="7" width="0.85546875" customWidth="1"/>
  </cols>
  <sheetData>
    <row r="1" spans="1:9" ht="13.5" thickBot="1" x14ac:dyDescent="0.25">
      <c r="A1" s="1" t="s">
        <v>83</v>
      </c>
    </row>
    <row r="2" spans="1:9" ht="13.5" thickTop="1" x14ac:dyDescent="0.2">
      <c r="A2" s="2" t="s">
        <v>123</v>
      </c>
      <c r="B2" s="39"/>
      <c r="C2" s="39"/>
      <c r="D2" s="39"/>
      <c r="E2" s="39"/>
      <c r="F2" s="39"/>
      <c r="G2" s="39"/>
      <c r="H2" s="4"/>
    </row>
    <row r="3" spans="1:9" ht="13.5" thickBot="1" x14ac:dyDescent="0.25">
      <c r="A3" s="5" t="s">
        <v>124</v>
      </c>
      <c r="B3" s="43"/>
      <c r="C3" s="43"/>
      <c r="D3" s="43"/>
      <c r="E3" s="43"/>
      <c r="F3" s="43"/>
      <c r="G3" s="43"/>
      <c r="H3" s="7"/>
    </row>
    <row r="4" spans="1:9" ht="5.25" customHeight="1" thickTop="1" thickBot="1" x14ac:dyDescent="0.25">
      <c r="A4" s="77"/>
    </row>
    <row r="5" spans="1:9" ht="14.25" thickTop="1" thickBot="1" x14ac:dyDescent="0.25">
      <c r="A5" s="9"/>
      <c r="B5" s="55" t="s">
        <v>86</v>
      </c>
      <c r="C5" s="55" t="s">
        <v>87</v>
      </c>
      <c r="D5" s="55" t="s">
        <v>88</v>
      </c>
      <c r="E5" s="55" t="s">
        <v>89</v>
      </c>
      <c r="F5" s="55" t="s">
        <v>90</v>
      </c>
      <c r="G5" s="11"/>
      <c r="H5" s="12" t="s">
        <v>91</v>
      </c>
    </row>
    <row r="6" spans="1:9" ht="14.25" thickTop="1" thickBot="1" x14ac:dyDescent="0.25">
      <c r="A6" s="13" t="s">
        <v>92</v>
      </c>
      <c r="B6" s="14">
        <v>0.2</v>
      </c>
      <c r="C6" s="15">
        <v>0.2</v>
      </c>
      <c r="D6" s="15">
        <v>0.2</v>
      </c>
      <c r="E6" s="15">
        <v>0.2</v>
      </c>
      <c r="F6" s="16">
        <v>0.2</v>
      </c>
      <c r="G6" s="20"/>
      <c r="H6" s="18">
        <f>SUM(B6:F6)</f>
        <v>1</v>
      </c>
    </row>
    <row r="7" spans="1:9" ht="14.25" thickTop="1" thickBot="1" x14ac:dyDescent="0.25">
      <c r="A7" s="38" t="s">
        <v>93</v>
      </c>
      <c r="B7" s="23">
        <f>AVERAGE(B23:B32)</f>
        <v>8.6999999999999994E-2</v>
      </c>
      <c r="C7" s="23">
        <f>AVERAGE(C23:C32)</f>
        <v>7.0999999999999994E-2</v>
      </c>
      <c r="D7" s="23">
        <f>AVERAGE(D23:D32)</f>
        <v>9.4E-2</v>
      </c>
      <c r="E7" s="23">
        <f>AVERAGE(E23:E32)</f>
        <v>0.10699999999999998</v>
      </c>
      <c r="F7" s="23">
        <f>AVERAGE(F23:F32)</f>
        <v>6.8999999999999992E-2</v>
      </c>
      <c r="G7" s="24"/>
      <c r="H7" s="25"/>
    </row>
    <row r="8" spans="1:9" ht="14.25" thickTop="1" thickBot="1" x14ac:dyDescent="0.25"/>
    <row r="9" spans="1:9" ht="13.5" thickTop="1" x14ac:dyDescent="0.2">
      <c r="A9" s="46" t="s">
        <v>95</v>
      </c>
      <c r="B9" s="78"/>
      <c r="C9" s="11"/>
      <c r="D9" s="11"/>
      <c r="E9" s="11"/>
      <c r="F9" s="74"/>
    </row>
    <row r="10" spans="1:9" x14ac:dyDescent="0.2">
      <c r="A10" s="37"/>
      <c r="B10" s="48" t="s">
        <v>86</v>
      </c>
      <c r="C10" s="48" t="s">
        <v>87</v>
      </c>
      <c r="D10" s="48" t="s">
        <v>88</v>
      </c>
      <c r="E10" s="48" t="s">
        <v>89</v>
      </c>
      <c r="F10" s="49" t="s">
        <v>90</v>
      </c>
    </row>
    <row r="11" spans="1:9" x14ac:dyDescent="0.2">
      <c r="A11" s="79" t="s">
        <v>86</v>
      </c>
      <c r="B11" s="17">
        <f>VARP(B23:B32)</f>
        <v>3.2100000000000352E-4</v>
      </c>
      <c r="C11" s="17">
        <f>COVAR(B23:B32,C23:C32)</f>
        <v>1.2430000000000002E-3</v>
      </c>
      <c r="D11" s="17">
        <f>COVAR(B23:B32,D23:D32)</f>
        <v>2.7200000000000005E-4</v>
      </c>
      <c r="E11" s="17">
        <f>COVAR(B23:B32,E23:E32)</f>
        <v>5.7099999999999978E-4</v>
      </c>
      <c r="F11" s="75">
        <f>COVAR(B23:B32,F23:F32)</f>
        <v>1.17E-4</v>
      </c>
    </row>
    <row r="12" spans="1:9" x14ac:dyDescent="0.2">
      <c r="A12" s="79" t="s">
        <v>87</v>
      </c>
      <c r="B12" s="17">
        <f>C11</f>
        <v>1.2430000000000002E-3</v>
      </c>
      <c r="C12" s="17">
        <f>VARP(C23:C32)</f>
        <v>1.2329000000000001E-2</v>
      </c>
      <c r="D12" s="17">
        <f>COVAR(C23:C32,D23:D32)</f>
        <v>1.9960000000000004E-3</v>
      </c>
      <c r="E12" s="17">
        <f>COVAR(C23:C32,E23:E32)</f>
        <v>1.6329999999999997E-3</v>
      </c>
      <c r="F12" s="75">
        <f>COVAR(C23:C32,F23:F32)</f>
        <v>-5.3899999999999977E-4</v>
      </c>
    </row>
    <row r="13" spans="1:9" x14ac:dyDescent="0.2">
      <c r="A13" s="79" t="s">
        <v>88</v>
      </c>
      <c r="B13" s="17">
        <f>D11</f>
        <v>2.7200000000000005E-4</v>
      </c>
      <c r="C13" s="17">
        <f>D12</f>
        <v>1.9960000000000004E-3</v>
      </c>
      <c r="D13" s="80">
        <f>VARP(D23:D32)</f>
        <v>4.2400000000000217E-4</v>
      </c>
      <c r="E13" s="17">
        <f>COVAR(D23:D32,E23:E32)</f>
        <v>3.8200000000000012E-4</v>
      </c>
      <c r="F13" s="75">
        <f>COVAR(D23:D32,F23:F32)</f>
        <v>-6.5999999999999937E-5</v>
      </c>
      <c r="H13" s="81"/>
      <c r="I13" s="20"/>
    </row>
    <row r="14" spans="1:9" x14ac:dyDescent="0.2">
      <c r="A14" s="79" t="s">
        <v>89</v>
      </c>
      <c r="B14" s="17">
        <f>E11</f>
        <v>5.7099999999999978E-4</v>
      </c>
      <c r="C14" s="17">
        <f>E12</f>
        <v>1.6329999999999997E-3</v>
      </c>
      <c r="D14" s="17">
        <f>E13</f>
        <v>3.8200000000000012E-4</v>
      </c>
      <c r="E14" s="17">
        <f>VARP(E23:E32)</f>
        <v>5.1410000000000067E-3</v>
      </c>
      <c r="F14" s="75">
        <f>COVAR(E23:E32,F23:F32)</f>
        <v>2.3699999999999996E-4</v>
      </c>
      <c r="H14" s="81"/>
      <c r="I14" s="17"/>
    </row>
    <row r="15" spans="1:9" x14ac:dyDescent="0.2">
      <c r="A15" s="79" t="s">
        <v>90</v>
      </c>
      <c r="B15" s="17">
        <f>F11</f>
        <v>1.17E-4</v>
      </c>
      <c r="C15" s="17">
        <f>F12</f>
        <v>-5.3899999999999977E-4</v>
      </c>
      <c r="D15" s="17">
        <f>F13</f>
        <v>-6.5999999999999937E-5</v>
      </c>
      <c r="E15" s="17">
        <f>F14</f>
        <v>2.3699999999999996E-4</v>
      </c>
      <c r="F15" s="75">
        <f>VARP(F23:F32)</f>
        <v>5.0900000000000218E-4</v>
      </c>
      <c r="H15" s="20"/>
      <c r="I15" s="20"/>
    </row>
    <row r="16" spans="1:9" ht="13.5" thickBot="1" x14ac:dyDescent="0.25">
      <c r="A16" s="37"/>
      <c r="B16" s="20"/>
      <c r="C16" s="20"/>
      <c r="D16" s="20"/>
      <c r="E16" s="20"/>
      <c r="F16" s="21"/>
      <c r="H16" s="20"/>
      <c r="I16" s="20"/>
    </row>
    <row r="17" spans="1:9" ht="14.25" thickTop="1" thickBot="1" x14ac:dyDescent="0.25">
      <c r="A17" s="13" t="s">
        <v>125</v>
      </c>
      <c r="B17" s="17">
        <f>B6*SUMPRODUCT($B$6:$F$6,B11:F11)</f>
        <v>1.0096000000000014E-4</v>
      </c>
      <c r="C17" s="17">
        <f>C6*SUMPRODUCT($B$6:$F$6,B12:F12)</f>
        <v>6.6648000000000011E-4</v>
      </c>
      <c r="D17" s="17">
        <f>D6*SUMPRODUCT($B$6:$F$6,B13:F13)</f>
        <v>1.2032000000000011E-4</v>
      </c>
      <c r="E17" s="17">
        <f>E6*SUMPRODUCT($B$6:$F$6,B14:F14)</f>
        <v>3.1856000000000028E-4</v>
      </c>
      <c r="F17" s="75">
        <f>F6*SUMPRODUCT($B$6:$F$6,B15:F15)</f>
        <v>1.0320000000000096E-5</v>
      </c>
      <c r="H17" s="82" t="s">
        <v>96</v>
      </c>
      <c r="I17" s="18">
        <f>SUM(B17:F17)</f>
        <v>1.2166400000000008E-3</v>
      </c>
    </row>
    <row r="18" spans="1:9" ht="14.25" thickTop="1" thickBot="1" x14ac:dyDescent="0.25">
      <c r="A18" s="37"/>
      <c r="B18" s="20"/>
      <c r="C18" s="20"/>
      <c r="D18" s="20"/>
      <c r="E18" s="20"/>
      <c r="F18" s="21"/>
      <c r="H18" s="13" t="s">
        <v>97</v>
      </c>
      <c r="I18" s="75">
        <f>SQRT(I17)</f>
        <v>3.4880366970546639E-2</v>
      </c>
    </row>
    <row r="19" spans="1:9" ht="14.25" thickTop="1" thickBot="1" x14ac:dyDescent="0.25">
      <c r="A19" s="22" t="s">
        <v>126</v>
      </c>
      <c r="B19" s="23">
        <f>B6*B7</f>
        <v>1.7399999999999999E-2</v>
      </c>
      <c r="C19" s="23">
        <f>C6*C7</f>
        <v>1.4199999999999999E-2</v>
      </c>
      <c r="D19" s="23">
        <f>D6*D7</f>
        <v>1.8800000000000001E-2</v>
      </c>
      <c r="E19" s="23">
        <f>E6*E7</f>
        <v>2.1399999999999999E-2</v>
      </c>
      <c r="F19" s="76">
        <f>F6*F7</f>
        <v>1.38E-2</v>
      </c>
      <c r="H19" s="22" t="s">
        <v>98</v>
      </c>
      <c r="I19" s="31">
        <f>SUM(B19:F19)</f>
        <v>8.5600000000000009E-2</v>
      </c>
    </row>
    <row r="20" spans="1:9" ht="4.5" customHeight="1" thickTop="1" thickBot="1" x14ac:dyDescent="0.25"/>
    <row r="21" spans="1:9" ht="13.5" thickTop="1" x14ac:dyDescent="0.2">
      <c r="A21" s="83" t="s">
        <v>127</v>
      </c>
      <c r="B21" s="11"/>
      <c r="C21" s="11"/>
      <c r="D21" s="11"/>
      <c r="E21" s="11"/>
      <c r="F21" s="74"/>
    </row>
    <row r="22" spans="1:9" x14ac:dyDescent="0.2">
      <c r="A22" s="37"/>
      <c r="B22" s="44" t="s">
        <v>86</v>
      </c>
      <c r="C22" s="44" t="s">
        <v>87</v>
      </c>
      <c r="D22" s="44" t="s">
        <v>88</v>
      </c>
      <c r="E22" s="44" t="s">
        <v>89</v>
      </c>
      <c r="F22" s="84" t="s">
        <v>90</v>
      </c>
    </row>
    <row r="23" spans="1:9" x14ac:dyDescent="0.2">
      <c r="A23" s="13" t="s">
        <v>128</v>
      </c>
      <c r="B23" s="17">
        <v>0.1</v>
      </c>
      <c r="C23" s="17">
        <v>0.15</v>
      </c>
      <c r="D23" s="17">
        <v>0.12</v>
      </c>
      <c r="E23" s="17">
        <v>0.18</v>
      </c>
      <c r="F23" s="75">
        <v>0.05</v>
      </c>
    </row>
    <row r="24" spans="1:9" x14ac:dyDescent="0.2">
      <c r="A24" s="13" t="s">
        <v>129</v>
      </c>
      <c r="B24" s="17">
        <v>0.12</v>
      </c>
      <c r="C24" s="17">
        <v>0.17</v>
      </c>
      <c r="D24" s="17">
        <v>0.13</v>
      </c>
      <c r="E24" s="17">
        <v>0.16</v>
      </c>
      <c r="F24" s="75">
        <v>0.08</v>
      </c>
    </row>
    <row r="25" spans="1:9" x14ac:dyDescent="0.2">
      <c r="A25" s="13" t="s">
        <v>130</v>
      </c>
      <c r="B25" s="17">
        <v>0.08</v>
      </c>
      <c r="C25" s="17">
        <v>0.04</v>
      </c>
      <c r="D25" s="17">
        <v>0.09</v>
      </c>
      <c r="E25" s="17">
        <v>0.03</v>
      </c>
      <c r="F25" s="75">
        <v>0.1</v>
      </c>
    </row>
    <row r="26" spans="1:9" x14ac:dyDescent="0.2">
      <c r="A26" s="13" t="s">
        <v>131</v>
      </c>
      <c r="B26" s="17">
        <v>7.0000000000000007E-2</v>
      </c>
      <c r="C26" s="17">
        <v>-0.08</v>
      </c>
      <c r="D26" s="17">
        <v>7.0000000000000007E-2</v>
      </c>
      <c r="E26" s="17">
        <v>0.04</v>
      </c>
      <c r="F26" s="75">
        <v>0.09</v>
      </c>
    </row>
    <row r="27" spans="1:9" x14ac:dyDescent="0.2">
      <c r="A27" s="13" t="s">
        <v>132</v>
      </c>
      <c r="B27" s="17">
        <v>0.09</v>
      </c>
      <c r="C27" s="17">
        <v>0.15</v>
      </c>
      <c r="D27" s="17">
        <v>0.09</v>
      </c>
      <c r="E27" s="17">
        <v>0.08</v>
      </c>
      <c r="F27" s="75">
        <v>0.05</v>
      </c>
    </row>
    <row r="28" spans="1:9" x14ac:dyDescent="0.2">
      <c r="A28" s="13" t="s">
        <v>133</v>
      </c>
      <c r="B28" s="17">
        <v>7.0000000000000007E-2</v>
      </c>
      <c r="C28" s="17">
        <v>0.22</v>
      </c>
      <c r="D28" s="17">
        <v>0.11</v>
      </c>
      <c r="E28" s="17">
        <v>0.1</v>
      </c>
      <c r="F28" s="75">
        <v>0.04</v>
      </c>
    </row>
    <row r="29" spans="1:9" x14ac:dyDescent="0.2">
      <c r="A29" s="13" t="s">
        <v>134</v>
      </c>
      <c r="B29" s="17">
        <v>0.08</v>
      </c>
      <c r="C29" s="17">
        <v>0.03</v>
      </c>
      <c r="D29" s="17">
        <v>0.09</v>
      </c>
      <c r="E29" s="17">
        <v>-0.03</v>
      </c>
      <c r="F29" s="75">
        <v>0.04</v>
      </c>
    </row>
    <row r="30" spans="1:9" x14ac:dyDescent="0.2">
      <c r="A30" s="13" t="s">
        <v>135</v>
      </c>
      <c r="B30" s="17">
        <v>0.06</v>
      </c>
      <c r="C30" s="17">
        <v>-0.14000000000000001</v>
      </c>
      <c r="D30" s="17">
        <v>0.06</v>
      </c>
      <c r="E30" s="17">
        <v>0.15</v>
      </c>
      <c r="F30" s="75">
        <v>0.06</v>
      </c>
    </row>
    <row r="31" spans="1:9" x14ac:dyDescent="0.2">
      <c r="A31" s="13" t="s">
        <v>136</v>
      </c>
      <c r="B31" s="17">
        <v>0.09</v>
      </c>
      <c r="C31" s="17">
        <v>0.02</v>
      </c>
      <c r="D31" s="17">
        <v>0.08</v>
      </c>
      <c r="E31" s="17">
        <v>0.2</v>
      </c>
      <c r="F31" s="75">
        <v>0.08</v>
      </c>
    </row>
    <row r="32" spans="1:9" ht="13.5" thickBot="1" x14ac:dyDescent="0.25">
      <c r="A32" s="22" t="s">
        <v>137</v>
      </c>
      <c r="B32" s="23">
        <v>0.11</v>
      </c>
      <c r="C32" s="23">
        <v>0.15</v>
      </c>
      <c r="D32" s="23">
        <v>0.1</v>
      </c>
      <c r="E32" s="23">
        <v>0.16</v>
      </c>
      <c r="F32" s="76">
        <v>0.1</v>
      </c>
    </row>
    <row r="33" spans="1:9" ht="13.5" thickTop="1" x14ac:dyDescent="0.2"/>
    <row r="34" spans="1:9" ht="13.5" thickBot="1" x14ac:dyDescent="0.25"/>
    <row r="35" spans="1:9" ht="13.5" thickTop="1" x14ac:dyDescent="0.2">
      <c r="A35" s="161" t="s">
        <v>99</v>
      </c>
      <c r="B35" s="150"/>
      <c r="C35" s="151"/>
      <c r="D35" s="151"/>
      <c r="E35" s="151"/>
      <c r="F35" s="151"/>
      <c r="G35" s="151"/>
      <c r="H35" s="151"/>
      <c r="I35" s="152"/>
    </row>
    <row r="36" spans="1:9" x14ac:dyDescent="0.2">
      <c r="A36" s="153" t="s">
        <v>100</v>
      </c>
      <c r="B36" s="154"/>
      <c r="C36" s="155"/>
      <c r="D36" s="155"/>
      <c r="E36" s="155"/>
      <c r="F36" s="155"/>
      <c r="G36" s="155"/>
      <c r="H36" s="155"/>
      <c r="I36" s="156"/>
    </row>
    <row r="37" spans="1:9" x14ac:dyDescent="0.2">
      <c r="A37" s="153" t="s">
        <v>138</v>
      </c>
      <c r="B37" s="154"/>
      <c r="C37" s="155"/>
      <c r="D37" s="155"/>
      <c r="E37" s="155"/>
      <c r="F37" s="155"/>
      <c r="G37" s="155"/>
      <c r="H37" s="155"/>
      <c r="I37" s="156"/>
    </row>
    <row r="38" spans="1:9" x14ac:dyDescent="0.2">
      <c r="A38" s="153" t="s">
        <v>139</v>
      </c>
      <c r="B38" s="154"/>
      <c r="C38" s="155"/>
      <c r="D38" s="155"/>
      <c r="E38" s="155"/>
      <c r="F38" s="155"/>
      <c r="G38" s="155"/>
      <c r="H38" s="155"/>
      <c r="I38" s="156"/>
    </row>
    <row r="39" spans="1:9" x14ac:dyDescent="0.2">
      <c r="A39" s="153" t="s">
        <v>103</v>
      </c>
      <c r="B39" s="154"/>
      <c r="C39" s="155"/>
      <c r="D39" s="155"/>
      <c r="E39" s="155"/>
      <c r="F39" s="155"/>
      <c r="G39" s="155"/>
      <c r="H39" s="155"/>
      <c r="I39" s="156"/>
    </row>
    <row r="40" spans="1:9" x14ac:dyDescent="0.2">
      <c r="A40" s="162" t="s">
        <v>104</v>
      </c>
      <c r="B40" s="154"/>
      <c r="C40" s="155"/>
      <c r="D40" s="155"/>
      <c r="E40" s="155"/>
      <c r="F40" s="155"/>
      <c r="G40" s="155"/>
      <c r="H40" s="155"/>
      <c r="I40" s="156"/>
    </row>
    <row r="41" spans="1:9" x14ac:dyDescent="0.2">
      <c r="A41" s="153" t="s">
        <v>105</v>
      </c>
      <c r="B41" s="154"/>
      <c r="C41" s="155"/>
      <c r="D41" s="155"/>
      <c r="E41" s="155"/>
      <c r="F41" s="155"/>
      <c r="G41" s="155"/>
      <c r="H41" s="155"/>
      <c r="I41" s="156"/>
    </row>
    <row r="42" spans="1:9" x14ac:dyDescent="0.2">
      <c r="A42" s="153" t="s">
        <v>140</v>
      </c>
      <c r="B42" s="154"/>
      <c r="C42" s="155"/>
      <c r="D42" s="155"/>
      <c r="E42" s="155"/>
      <c r="F42" s="155"/>
      <c r="G42" s="155"/>
      <c r="H42" s="155"/>
      <c r="I42" s="156"/>
    </row>
    <row r="43" spans="1:9" x14ac:dyDescent="0.2">
      <c r="A43" s="153" t="s">
        <v>141</v>
      </c>
      <c r="B43" s="154"/>
      <c r="C43" s="155"/>
      <c r="D43" s="155"/>
      <c r="E43" s="155"/>
      <c r="F43" s="155"/>
      <c r="G43" s="155"/>
      <c r="H43" s="155"/>
      <c r="I43" s="156"/>
    </row>
    <row r="44" spans="1:9" x14ac:dyDescent="0.2">
      <c r="A44" s="153" t="s">
        <v>108</v>
      </c>
      <c r="B44" s="154"/>
      <c r="C44" s="155"/>
      <c r="D44" s="155"/>
      <c r="E44" s="155"/>
      <c r="F44" s="155"/>
      <c r="G44" s="155"/>
      <c r="H44" s="155"/>
      <c r="I44" s="156"/>
    </row>
    <row r="45" spans="1:9" x14ac:dyDescent="0.2">
      <c r="A45" s="153"/>
      <c r="B45" s="154" t="s">
        <v>142</v>
      </c>
      <c r="C45" s="155"/>
      <c r="D45" s="155"/>
      <c r="E45" s="155"/>
      <c r="F45" s="155"/>
      <c r="G45" s="155"/>
      <c r="H45" s="155"/>
      <c r="I45" s="156"/>
    </row>
    <row r="46" spans="1:9" x14ac:dyDescent="0.2">
      <c r="A46" s="153"/>
      <c r="B46" s="154" t="s">
        <v>143</v>
      </c>
      <c r="C46" s="155"/>
      <c r="D46" s="155"/>
      <c r="E46" s="155"/>
      <c r="F46" s="155"/>
      <c r="G46" s="155"/>
      <c r="H46" s="155"/>
      <c r="I46" s="156"/>
    </row>
    <row r="47" spans="1:9" x14ac:dyDescent="0.2">
      <c r="A47" s="153" t="s">
        <v>111</v>
      </c>
      <c r="B47" s="154"/>
      <c r="C47" s="155"/>
      <c r="D47" s="155"/>
      <c r="E47" s="155"/>
      <c r="F47" s="155"/>
      <c r="G47" s="155"/>
      <c r="H47" s="155"/>
      <c r="I47" s="156"/>
    </row>
    <row r="48" spans="1:9" x14ac:dyDescent="0.2">
      <c r="A48" s="153" t="s">
        <v>144</v>
      </c>
      <c r="B48" s="154"/>
      <c r="C48" s="155"/>
      <c r="D48" s="155"/>
      <c r="E48" s="155"/>
      <c r="F48" s="155"/>
      <c r="G48" s="155"/>
      <c r="H48" s="155"/>
      <c r="I48" s="156"/>
    </row>
    <row r="49" spans="1:9" x14ac:dyDescent="0.2">
      <c r="A49" s="153"/>
      <c r="B49" s="154" t="s">
        <v>145</v>
      </c>
      <c r="C49" s="155"/>
      <c r="D49" s="155"/>
      <c r="E49" s="155"/>
      <c r="F49" s="155"/>
      <c r="G49" s="155"/>
      <c r="H49" s="155"/>
      <c r="I49" s="156"/>
    </row>
    <row r="50" spans="1:9" x14ac:dyDescent="0.2">
      <c r="A50" s="153" t="s">
        <v>146</v>
      </c>
      <c r="B50" s="154"/>
      <c r="C50" s="155"/>
      <c r="D50" s="155"/>
      <c r="E50" s="155"/>
      <c r="F50" s="155"/>
      <c r="G50" s="155"/>
      <c r="H50" s="155"/>
      <c r="I50" s="156"/>
    </row>
    <row r="51" spans="1:9" x14ac:dyDescent="0.2">
      <c r="A51" s="153" t="s">
        <v>147</v>
      </c>
      <c r="B51" s="154"/>
      <c r="C51" s="155"/>
      <c r="D51" s="155"/>
      <c r="E51" s="155"/>
      <c r="F51" s="155"/>
      <c r="G51" s="155"/>
      <c r="H51" s="155"/>
      <c r="I51" s="156"/>
    </row>
    <row r="52" spans="1:9" x14ac:dyDescent="0.2">
      <c r="A52" s="153"/>
      <c r="B52" s="154"/>
      <c r="C52" s="155"/>
      <c r="D52" s="155"/>
      <c r="E52" s="155"/>
      <c r="F52" s="155"/>
      <c r="G52" s="155"/>
      <c r="H52" s="155"/>
      <c r="I52" s="156"/>
    </row>
    <row r="53" spans="1:9" x14ac:dyDescent="0.2">
      <c r="A53" s="162" t="s">
        <v>116</v>
      </c>
      <c r="B53" s="154"/>
      <c r="C53" s="155"/>
      <c r="D53" s="155"/>
      <c r="E53" s="155"/>
      <c r="F53" s="155"/>
      <c r="G53" s="155"/>
      <c r="H53" s="155"/>
      <c r="I53" s="156"/>
    </row>
    <row r="54" spans="1:9" x14ac:dyDescent="0.2">
      <c r="A54" s="153" t="s">
        <v>148</v>
      </c>
      <c r="B54" s="154"/>
      <c r="C54" s="155"/>
      <c r="D54" s="155"/>
      <c r="E54" s="155"/>
      <c r="F54" s="155"/>
      <c r="G54" s="155"/>
      <c r="H54" s="155"/>
      <c r="I54" s="156"/>
    </row>
    <row r="55" spans="1:9" x14ac:dyDescent="0.2">
      <c r="A55" s="153" t="s">
        <v>149</v>
      </c>
      <c r="B55" s="154"/>
      <c r="C55" s="155"/>
      <c r="D55" s="155"/>
      <c r="E55" s="155"/>
      <c r="F55" s="155"/>
      <c r="G55" s="155"/>
      <c r="H55" s="155"/>
      <c r="I55" s="156"/>
    </row>
    <row r="56" spans="1:9" x14ac:dyDescent="0.2">
      <c r="A56" s="153" t="s">
        <v>150</v>
      </c>
      <c r="B56" s="154"/>
      <c r="C56" s="155"/>
      <c r="D56" s="155"/>
      <c r="E56" s="155"/>
      <c r="F56" s="155"/>
      <c r="G56" s="155"/>
      <c r="H56" s="155"/>
      <c r="I56" s="156"/>
    </row>
    <row r="57" spans="1:9" ht="13.5" thickBot="1" x14ac:dyDescent="0.25">
      <c r="A57" s="157" t="s">
        <v>151</v>
      </c>
      <c r="B57" s="158"/>
      <c r="C57" s="159"/>
      <c r="D57" s="159"/>
      <c r="E57" s="159"/>
      <c r="F57" s="159"/>
      <c r="G57" s="159"/>
      <c r="H57" s="159"/>
      <c r="I57" s="160"/>
    </row>
    <row r="58" spans="1:9" ht="13.5" thickTop="1" x14ac:dyDescent="0.2"/>
  </sheetData>
  <printOptions gridLinesSet="0"/>
  <pageMargins left="0.75" right="0.75" top="1" bottom="1" header="0.5" footer="0.5"/>
  <pageSetup orientation="portrait" horizontalDpi="4294967292" verticalDpi="4294967292" r:id="rId1"/>
  <headerFooter alignWithMargins="0">
    <oddHeader>&amp;F</oddHeader>
    <oddFooter>Page &amp;P</oddFooter>
  </headerFooter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I40"/>
  <sheetViews>
    <sheetView showGridLines="0" workbookViewId="0"/>
  </sheetViews>
  <sheetFormatPr defaultRowHeight="12.75" x14ac:dyDescent="0.2"/>
  <cols>
    <col min="1" max="1" width="14.85546875" customWidth="1"/>
    <col min="7" max="7" width="0.85546875" customWidth="1"/>
    <col min="9" max="9" width="11.5703125" customWidth="1"/>
  </cols>
  <sheetData>
    <row r="1" spans="1:9" ht="13.5" thickBot="1" x14ac:dyDescent="0.25">
      <c r="A1" s="1" t="s">
        <v>83</v>
      </c>
    </row>
    <row r="2" spans="1:9" ht="13.5" thickTop="1" x14ac:dyDescent="0.2">
      <c r="A2" s="2" t="s">
        <v>123</v>
      </c>
      <c r="B2" s="39"/>
      <c r="C2" s="39"/>
      <c r="D2" s="39"/>
      <c r="E2" s="39"/>
      <c r="F2" s="39"/>
      <c r="G2" s="39"/>
      <c r="H2" s="4"/>
    </row>
    <row r="3" spans="1:9" ht="13.5" thickBot="1" x14ac:dyDescent="0.25">
      <c r="A3" s="5" t="s">
        <v>152</v>
      </c>
      <c r="B3" s="43"/>
      <c r="C3" s="43"/>
      <c r="D3" s="43"/>
      <c r="E3" s="43"/>
      <c r="F3" s="43"/>
      <c r="G3" s="43"/>
      <c r="H3" s="7"/>
    </row>
    <row r="4" spans="1:9" ht="14.25" thickTop="1" thickBot="1" x14ac:dyDescent="0.25">
      <c r="A4" s="77"/>
    </row>
    <row r="5" spans="1:9" ht="14.25" thickTop="1" thickBot="1" x14ac:dyDescent="0.25">
      <c r="A5" s="9"/>
      <c r="B5" s="55" t="s">
        <v>86</v>
      </c>
      <c r="C5" s="55" t="s">
        <v>87</v>
      </c>
      <c r="D5" s="55" t="s">
        <v>88</v>
      </c>
      <c r="E5" s="55" t="s">
        <v>89</v>
      </c>
      <c r="F5" s="55" t="s">
        <v>90</v>
      </c>
      <c r="G5" s="11"/>
      <c r="H5" s="12" t="s">
        <v>91</v>
      </c>
    </row>
    <row r="6" spans="1:9" ht="14.25" thickTop="1" thickBot="1" x14ac:dyDescent="0.25">
      <c r="A6" s="13" t="s">
        <v>92</v>
      </c>
      <c r="B6" s="14">
        <v>0</v>
      </c>
      <c r="C6" s="15">
        <v>3.5714285714288627E-2</v>
      </c>
      <c r="D6" s="15">
        <v>0</v>
      </c>
      <c r="E6" s="15">
        <v>0</v>
      </c>
      <c r="F6" s="16">
        <v>0.96428571428571275</v>
      </c>
      <c r="G6" s="20"/>
      <c r="H6" s="18">
        <f>SUM(B6:F6)</f>
        <v>1.0000000000000013</v>
      </c>
    </row>
    <row r="7" spans="1:9" ht="14.25" thickTop="1" thickBot="1" x14ac:dyDescent="0.25">
      <c r="A7" s="38" t="s">
        <v>93</v>
      </c>
      <c r="B7" s="23">
        <v>7.0000000000000007E-2</v>
      </c>
      <c r="C7" s="23">
        <v>0.08</v>
      </c>
      <c r="D7" s="23">
        <v>9.5000000000000001E-2</v>
      </c>
      <c r="E7" s="23">
        <v>6.5000000000000002E-2</v>
      </c>
      <c r="F7" s="23">
        <v>0.15</v>
      </c>
      <c r="G7" s="24"/>
      <c r="H7" s="25"/>
    </row>
    <row r="8" spans="1:9" ht="14.25" thickTop="1" thickBot="1" x14ac:dyDescent="0.25"/>
    <row r="9" spans="1:9" ht="13.5" thickTop="1" x14ac:dyDescent="0.2">
      <c r="A9" s="46" t="s">
        <v>95</v>
      </c>
      <c r="B9" s="78"/>
      <c r="C9" s="11"/>
      <c r="D9" s="11"/>
      <c r="E9" s="11"/>
      <c r="F9" s="74"/>
    </row>
    <row r="10" spans="1:9" x14ac:dyDescent="0.2">
      <c r="A10" s="37"/>
      <c r="B10" s="48" t="s">
        <v>86</v>
      </c>
      <c r="C10" s="48" t="s">
        <v>87</v>
      </c>
      <c r="D10" s="48" t="s">
        <v>88</v>
      </c>
      <c r="E10" s="48" t="s">
        <v>89</v>
      </c>
      <c r="F10" s="49" t="s">
        <v>90</v>
      </c>
    </row>
    <row r="11" spans="1:9" x14ac:dyDescent="0.2">
      <c r="A11" s="79" t="s">
        <v>86</v>
      </c>
      <c r="B11" s="17">
        <v>2.5000000000000001E-2</v>
      </c>
      <c r="C11" s="17">
        <v>1E-3</v>
      </c>
      <c r="D11" s="17">
        <v>0.01</v>
      </c>
      <c r="E11" s="17">
        <v>-5.0000000000000001E-3</v>
      </c>
      <c r="F11" s="75">
        <v>1.6E-2</v>
      </c>
    </row>
    <row r="12" spans="1:9" x14ac:dyDescent="0.2">
      <c r="A12" s="79" t="s">
        <v>87</v>
      </c>
      <c r="B12" s="17">
        <f>C11</f>
        <v>1E-3</v>
      </c>
      <c r="C12" s="17">
        <v>1.0999999999999999E-2</v>
      </c>
      <c r="D12" s="17">
        <v>-1E-3</v>
      </c>
      <c r="E12" s="17">
        <v>1.2E-2</v>
      </c>
      <c r="F12" s="75">
        <v>-8.5000000000000006E-3</v>
      </c>
    </row>
    <row r="13" spans="1:9" x14ac:dyDescent="0.2">
      <c r="A13" s="79" t="s">
        <v>88</v>
      </c>
      <c r="B13" s="17">
        <f>D11</f>
        <v>0.01</v>
      </c>
      <c r="C13" s="17">
        <f>D12</f>
        <v>-1E-3</v>
      </c>
      <c r="D13" s="80">
        <v>1.2E-2</v>
      </c>
      <c r="E13" s="17">
        <v>6.4999999999999997E-3</v>
      </c>
      <c r="F13" s="75">
        <v>7.4999999999999997E-3</v>
      </c>
      <c r="H13" s="81"/>
      <c r="I13" s="20"/>
    </row>
    <row r="14" spans="1:9" x14ac:dyDescent="0.2">
      <c r="A14" s="79" t="s">
        <v>89</v>
      </c>
      <c r="B14" s="17">
        <f>E11</f>
        <v>-5.0000000000000001E-3</v>
      </c>
      <c r="C14" s="17">
        <f>E12</f>
        <v>1.2E-2</v>
      </c>
      <c r="D14" s="17">
        <f>E13</f>
        <v>6.4999999999999997E-3</v>
      </c>
      <c r="E14" s="17">
        <v>4.0000000000000001E-3</v>
      </c>
      <c r="F14" s="75">
        <v>0.01</v>
      </c>
      <c r="H14" s="81"/>
      <c r="I14" s="17"/>
    </row>
    <row r="15" spans="1:9" ht="13.5" thickBot="1" x14ac:dyDescent="0.25">
      <c r="A15" s="79" t="s">
        <v>90</v>
      </c>
      <c r="B15" s="17">
        <f>F11</f>
        <v>1.6E-2</v>
      </c>
      <c r="C15" s="17">
        <f>F12</f>
        <v>-8.5000000000000006E-3</v>
      </c>
      <c r="D15" s="17">
        <f>F13</f>
        <v>7.4999999999999997E-3</v>
      </c>
      <c r="E15" s="17">
        <f>F14</f>
        <v>0.01</v>
      </c>
      <c r="F15" s="75">
        <v>0.02</v>
      </c>
      <c r="H15" s="20"/>
      <c r="I15" s="20"/>
    </row>
    <row r="16" spans="1:9" ht="14.25" thickTop="1" thickBot="1" x14ac:dyDescent="0.25">
      <c r="A16" s="37"/>
      <c r="B16" s="20"/>
      <c r="C16" s="20"/>
      <c r="D16" s="20"/>
      <c r="E16" s="20"/>
      <c r="F16" s="21"/>
      <c r="H16" s="82" t="s">
        <v>96</v>
      </c>
      <c r="I16" s="85">
        <f>SUM(B17:F17)</f>
        <v>1.8025510204081531E-2</v>
      </c>
    </row>
    <row r="17" spans="1:9" ht="13.5" thickTop="1" x14ac:dyDescent="0.2">
      <c r="A17" s="13" t="s">
        <v>125</v>
      </c>
      <c r="B17" s="17">
        <f>B6*SUMPRODUCT($B$6:$F$6,B11:F11)</f>
        <v>0</v>
      </c>
      <c r="C17" s="17">
        <f>C6*SUMPRODUCT($B$6:$F$6,B12:F12)</f>
        <v>-2.786989795918579E-4</v>
      </c>
      <c r="D17" s="17">
        <f>D6*SUMPRODUCT($B$6:$F$6,B13:F13)</f>
        <v>0</v>
      </c>
      <c r="E17" s="17">
        <f>E6*SUMPRODUCT($B$6:$F$6,B14:F14)</f>
        <v>0</v>
      </c>
      <c r="F17" s="75">
        <f>F6*SUMPRODUCT($B$6:$F$6,B15:F15)</f>
        <v>1.8304209183673387E-2</v>
      </c>
      <c r="H17" s="13" t="s">
        <v>97</v>
      </c>
      <c r="I17" s="75">
        <f>SQRT(I16)</f>
        <v>0.13425911590682224</v>
      </c>
    </row>
    <row r="18" spans="1:9" ht="13.5" thickBot="1" x14ac:dyDescent="0.25">
      <c r="A18" s="37"/>
      <c r="B18" s="20"/>
      <c r="C18" s="20"/>
      <c r="D18" s="20"/>
      <c r="E18" s="20"/>
      <c r="F18" s="21"/>
      <c r="H18" s="13" t="s">
        <v>153</v>
      </c>
      <c r="I18" s="75">
        <v>0.14749999999999999</v>
      </c>
    </row>
    <row r="19" spans="1:9" ht="14.25" thickTop="1" thickBot="1" x14ac:dyDescent="0.25">
      <c r="A19" s="22" t="s">
        <v>126</v>
      </c>
      <c r="B19" s="23">
        <f>B6*B7</f>
        <v>0</v>
      </c>
      <c r="C19" s="23">
        <f>C6*C7</f>
        <v>2.85714285714309E-3</v>
      </c>
      <c r="D19" s="23">
        <f>D6*D7</f>
        <v>0</v>
      </c>
      <c r="E19" s="23">
        <f>E6*E7</f>
        <v>0</v>
      </c>
      <c r="F19" s="76">
        <f>F6*F7</f>
        <v>0.14464285714285691</v>
      </c>
      <c r="H19" s="22" t="s">
        <v>98</v>
      </c>
      <c r="I19" s="86">
        <f>SUM(B19:F19)</f>
        <v>0.14749999999999999</v>
      </c>
    </row>
    <row r="20" spans="1:9" ht="13.5" thickTop="1" x14ac:dyDescent="0.2">
      <c r="A20" s="26"/>
      <c r="B20" s="26"/>
    </row>
    <row r="21" spans="1:9" ht="13.5" thickBot="1" x14ac:dyDescent="0.25">
      <c r="A21" s="87"/>
      <c r="B21" s="87"/>
    </row>
    <row r="22" spans="1:9" ht="13.5" thickTop="1" x14ac:dyDescent="0.2">
      <c r="A22" s="163" t="s">
        <v>154</v>
      </c>
      <c r="B22" s="164"/>
      <c r="C22" s="142"/>
      <c r="D22" s="142"/>
      <c r="E22" s="142"/>
      <c r="F22" s="142"/>
      <c r="G22" s="142"/>
      <c r="H22" s="142"/>
      <c r="I22" s="143"/>
    </row>
    <row r="23" spans="1:9" x14ac:dyDescent="0.2">
      <c r="A23" s="165" t="s">
        <v>155</v>
      </c>
      <c r="B23" s="166"/>
      <c r="C23" s="145"/>
      <c r="D23" s="145"/>
      <c r="E23" s="145"/>
      <c r="F23" s="145"/>
      <c r="G23" s="145"/>
      <c r="H23" s="145"/>
      <c r="I23" s="146"/>
    </row>
    <row r="24" spans="1:9" x14ac:dyDescent="0.2">
      <c r="A24" s="165" t="s">
        <v>156</v>
      </c>
      <c r="B24" s="166"/>
      <c r="C24" s="145"/>
      <c r="D24" s="145"/>
      <c r="E24" s="145"/>
      <c r="F24" s="145"/>
      <c r="G24" s="145"/>
      <c r="H24" s="145"/>
      <c r="I24" s="146"/>
    </row>
    <row r="25" spans="1:9" x14ac:dyDescent="0.2">
      <c r="A25" s="165" t="s">
        <v>157</v>
      </c>
      <c r="B25" s="166"/>
      <c r="C25" s="145"/>
      <c r="D25" s="145"/>
      <c r="E25" s="145"/>
      <c r="F25" s="145"/>
      <c r="G25" s="145"/>
      <c r="H25" s="145"/>
      <c r="I25" s="146"/>
    </row>
    <row r="26" spans="1:9" x14ac:dyDescent="0.2">
      <c r="A26" s="165" t="s">
        <v>158</v>
      </c>
      <c r="B26" s="166"/>
      <c r="C26" s="145"/>
      <c r="D26" s="145"/>
      <c r="E26" s="145"/>
      <c r="F26" s="145"/>
      <c r="G26" s="145"/>
      <c r="H26" s="145"/>
      <c r="I26" s="146"/>
    </row>
    <row r="27" spans="1:9" x14ac:dyDescent="0.2">
      <c r="A27" s="165" t="s">
        <v>159</v>
      </c>
      <c r="B27" s="166"/>
      <c r="C27" s="145"/>
      <c r="D27" s="145"/>
      <c r="E27" s="145"/>
      <c r="F27" s="145"/>
      <c r="G27" s="145"/>
      <c r="H27" s="145"/>
      <c r="I27" s="146"/>
    </row>
    <row r="28" spans="1:9" x14ac:dyDescent="0.2">
      <c r="A28" s="165" t="s">
        <v>160</v>
      </c>
      <c r="B28" s="166"/>
      <c r="C28" s="145"/>
      <c r="D28" s="145"/>
      <c r="E28" s="145"/>
      <c r="F28" s="145"/>
      <c r="G28" s="145"/>
      <c r="H28" s="145"/>
      <c r="I28" s="146"/>
    </row>
    <row r="29" spans="1:9" x14ac:dyDescent="0.2">
      <c r="A29" s="165" t="s">
        <v>161</v>
      </c>
      <c r="B29" s="166"/>
      <c r="C29" s="145"/>
      <c r="D29" s="145"/>
      <c r="E29" s="145"/>
      <c r="F29" s="145"/>
      <c r="G29" s="145"/>
      <c r="H29" s="145"/>
      <c r="I29" s="146"/>
    </row>
    <row r="30" spans="1:9" x14ac:dyDescent="0.2">
      <c r="A30" s="165" t="s">
        <v>162</v>
      </c>
      <c r="B30" s="166"/>
      <c r="C30" s="145"/>
      <c r="D30" s="145"/>
      <c r="E30" s="145"/>
      <c r="F30" s="145"/>
      <c r="G30" s="145"/>
      <c r="H30" s="145"/>
      <c r="I30" s="146"/>
    </row>
    <row r="31" spans="1:9" ht="13.5" thickBot="1" x14ac:dyDescent="0.25">
      <c r="A31" s="167" t="s">
        <v>163</v>
      </c>
      <c r="B31" s="168"/>
      <c r="C31" s="148"/>
      <c r="D31" s="148"/>
      <c r="E31" s="148"/>
      <c r="F31" s="148"/>
      <c r="G31" s="148"/>
      <c r="H31" s="148"/>
      <c r="I31" s="149"/>
    </row>
    <row r="32" spans="1:9" ht="13.5" thickTop="1" x14ac:dyDescent="0.2">
      <c r="A32" s="87"/>
      <c r="B32" s="87"/>
    </row>
    <row r="33" spans="1:2" x14ac:dyDescent="0.2">
      <c r="A33" s="87"/>
      <c r="B33" s="87"/>
    </row>
    <row r="34" spans="1:2" x14ac:dyDescent="0.2">
      <c r="A34" s="87"/>
      <c r="B34" s="87"/>
    </row>
    <row r="35" spans="1:2" x14ac:dyDescent="0.2">
      <c r="A35" s="87"/>
      <c r="B35" s="87"/>
    </row>
    <row r="36" spans="1:2" x14ac:dyDescent="0.2">
      <c r="A36" s="87"/>
      <c r="B36" s="87"/>
    </row>
    <row r="37" spans="1:2" x14ac:dyDescent="0.2">
      <c r="A37" s="87"/>
      <c r="B37" s="87"/>
    </row>
    <row r="38" spans="1:2" x14ac:dyDescent="0.2">
      <c r="A38" s="87"/>
      <c r="B38" s="87"/>
    </row>
    <row r="39" spans="1:2" x14ac:dyDescent="0.2">
      <c r="A39" s="87"/>
      <c r="B39" s="87"/>
    </row>
    <row r="40" spans="1:2" x14ac:dyDescent="0.2">
      <c r="A40" s="87"/>
      <c r="B40" s="87"/>
    </row>
  </sheetData>
  <printOptions gridLinesSet="0"/>
  <pageMargins left="0.75" right="0.75" top="1" bottom="1" header="0.5" footer="0.5"/>
  <pageSetup orientation="portrait" horizontalDpi="4294967292" verticalDpi="4294967292" r:id="rId1"/>
  <headerFooter alignWithMargins="0">
    <oddHeader>&amp;F</oddHeader>
    <oddFooter>Page &amp;P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Line="0" autoPict="0" macro="[0]!CreateFrontier">
                <anchor moveWithCells="1" sizeWithCells="1">
                  <from>
                    <xdr:col>7</xdr:col>
                    <xdr:colOff>57150</xdr:colOff>
                    <xdr:row>8</xdr:row>
                    <xdr:rowOff>19050</xdr:rowOff>
                  </from>
                  <to>
                    <xdr:col>9</xdr:col>
                    <xdr:colOff>9525</xdr:colOff>
                    <xdr:row>13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I53"/>
  <sheetViews>
    <sheetView showGridLines="0" workbookViewId="0"/>
  </sheetViews>
  <sheetFormatPr defaultColWidth="8" defaultRowHeight="12.75" x14ac:dyDescent="0.2"/>
  <cols>
    <col min="1" max="1" width="16.140625" customWidth="1"/>
    <col min="2" max="6" width="8.7109375" customWidth="1"/>
    <col min="7" max="7" width="3.7109375" customWidth="1"/>
  </cols>
  <sheetData>
    <row r="1" spans="1:8" ht="13.5" thickBot="1" x14ac:dyDescent="0.25">
      <c r="A1" s="68" t="s">
        <v>164</v>
      </c>
    </row>
    <row r="2" spans="1:8" ht="13.5" thickTop="1" x14ac:dyDescent="0.2">
      <c r="A2" s="2" t="s">
        <v>123</v>
      </c>
      <c r="B2" s="39"/>
      <c r="C2" s="39"/>
      <c r="D2" s="39"/>
      <c r="E2" s="39"/>
      <c r="F2" s="39"/>
      <c r="G2" s="39"/>
      <c r="H2" s="4"/>
    </row>
    <row r="3" spans="1:8" ht="13.5" thickBot="1" x14ac:dyDescent="0.25">
      <c r="A3" s="5" t="s">
        <v>165</v>
      </c>
      <c r="B3" s="43"/>
      <c r="C3" s="43"/>
      <c r="D3" s="43"/>
      <c r="E3" s="43"/>
      <c r="F3" s="43"/>
      <c r="G3" s="43"/>
      <c r="H3" s="7"/>
    </row>
    <row r="4" spans="1:8" ht="4.5" customHeight="1" thickTop="1" thickBot="1" x14ac:dyDescent="0.25"/>
    <row r="5" spans="1:8" ht="14.25" thickTop="1" thickBot="1" x14ac:dyDescent="0.25">
      <c r="A5" s="9"/>
      <c r="B5" s="55" t="s">
        <v>86</v>
      </c>
      <c r="C5" s="55" t="s">
        <v>87</v>
      </c>
      <c r="D5" s="55" t="s">
        <v>88</v>
      </c>
      <c r="E5" s="55" t="s">
        <v>89</v>
      </c>
      <c r="F5" s="55" t="s">
        <v>90</v>
      </c>
      <c r="G5" s="11"/>
      <c r="H5" s="12" t="s">
        <v>91</v>
      </c>
    </row>
    <row r="6" spans="1:8" ht="14.25" thickTop="1" thickBot="1" x14ac:dyDescent="0.25">
      <c r="A6" s="13" t="s">
        <v>92</v>
      </c>
      <c r="B6" s="14">
        <v>0.2</v>
      </c>
      <c r="C6" s="15">
        <v>0.2</v>
      </c>
      <c r="D6" s="15">
        <v>0.2</v>
      </c>
      <c r="E6" s="15">
        <v>0.2</v>
      </c>
      <c r="F6" s="16">
        <v>0.2</v>
      </c>
      <c r="G6" s="20"/>
      <c r="H6" s="18">
        <f>SUM(B6:F6)</f>
        <v>1</v>
      </c>
    </row>
    <row r="7" spans="1:8" ht="13.5" thickTop="1" x14ac:dyDescent="0.2">
      <c r="A7" s="13" t="s">
        <v>166</v>
      </c>
      <c r="B7" s="20">
        <f>INDEX(LINEST(B18:B27,$H$18:$H$27),1)</f>
        <v>0.57738095238095211</v>
      </c>
      <c r="C7" s="20">
        <f>INDEX(LINEST(C18:C27,$H$18:$H$27),1)</f>
        <v>1.6726190476190472</v>
      </c>
      <c r="D7" s="20">
        <f>INDEX(LINEST(D18:D27,$H$18:$H$27),1)</f>
        <v>0.64880952380952372</v>
      </c>
      <c r="E7" s="20">
        <f>INDEX(LINEST(E18:E27,$H$18:$H$27),1)</f>
        <v>0.93452380952380942</v>
      </c>
      <c r="F7" s="20">
        <f>INDEX(LINEST(F18:F27,$H$18:$H$27),1)</f>
        <v>0.76785714285714279</v>
      </c>
      <c r="G7" s="20"/>
      <c r="H7" s="21"/>
    </row>
    <row r="8" spans="1:8" x14ac:dyDescent="0.2">
      <c r="A8" s="13" t="s">
        <v>167</v>
      </c>
      <c r="B8" s="20">
        <f>INDEX(LINEST(B18:B27,$H$18:$H$27),2)</f>
        <v>4.7738095238095246E-2</v>
      </c>
      <c r="C8" s="20">
        <f>INDEX(LINEST(C18:C27,$H$18:$H$27),2)</f>
        <v>-4.2738095238095228E-2</v>
      </c>
      <c r="D8" s="20">
        <f>INDEX(LINEST(D18:D27,$H$18:$H$27),2)</f>
        <v>4.9880952380952387E-2</v>
      </c>
      <c r="E8" s="20">
        <f>INDEX(LINEST(E18:E27,$H$18:$H$27),2)</f>
        <v>4.3452380952380937E-2</v>
      </c>
      <c r="F8" s="20">
        <f>INDEX(LINEST(F18:F27,$H$18:$H$27),2)</f>
        <v>1.6785714285714279E-2</v>
      </c>
      <c r="G8" s="20"/>
      <c r="H8" s="21"/>
    </row>
    <row r="9" spans="1:8" x14ac:dyDescent="0.2">
      <c r="A9" s="19" t="s">
        <v>168</v>
      </c>
      <c r="B9" s="20">
        <f>(INDEX(LINEST(B18:B27,$H$18:$H$27,1,1),3,2))^2</f>
        <v>2.61235119047619E-4</v>
      </c>
      <c r="C9" s="20">
        <f>(INDEX(LINEST(C18:C27,$H$18:$H$27,1,1),3,2))^2</f>
        <v>1.4236235119047622E-2</v>
      </c>
      <c r="D9" s="20">
        <f>(INDEX(LINEST(D18:D27,$H$18:$H$27,1,1),3,2))^2</f>
        <v>3.5319940476190466E-4</v>
      </c>
      <c r="E9" s="20">
        <f>(INDEX(LINEST(E18:E27,$H$18:$H$27,1,1),3,2))^2</f>
        <v>6.059449404761906E-3</v>
      </c>
      <c r="F9" s="20">
        <f>(INDEX(LINEST(F18:F27,$H$18:$H$27,1,1),3,2))^2</f>
        <v>3.8861607142857155E-4</v>
      </c>
      <c r="G9" s="20"/>
      <c r="H9" s="21"/>
    </row>
    <row r="10" spans="1:8" ht="13.5" thickBot="1" x14ac:dyDescent="0.25">
      <c r="A10" s="71" t="s">
        <v>169</v>
      </c>
      <c r="B10" s="72">
        <f>B6^2*B9</f>
        <v>1.0449404761904762E-5</v>
      </c>
      <c r="C10" s="72">
        <f>C6^2*C9</f>
        <v>5.6944940476190496E-4</v>
      </c>
      <c r="D10" s="72">
        <f>D6^2*D9</f>
        <v>1.4127976190476189E-5</v>
      </c>
      <c r="E10" s="72">
        <f>E6^2*E9</f>
        <v>2.423779761904763E-4</v>
      </c>
      <c r="F10" s="72">
        <f>F6^2*F9</f>
        <v>1.5544642857142863E-5</v>
      </c>
      <c r="G10" s="24"/>
      <c r="H10" s="25"/>
    </row>
    <row r="11" spans="1:8" ht="5.25" customHeight="1" thickTop="1" thickBot="1" x14ac:dyDescent="0.25"/>
    <row r="12" spans="1:8" ht="14.25" thickTop="1" thickBot="1" x14ac:dyDescent="0.25">
      <c r="E12" s="67" t="s">
        <v>170</v>
      </c>
      <c r="H12" s="18">
        <f>SUMPRODUCT(B7:F7,B6:F6)^2*VAR(H18:H27)+SUM(B10:F10)</f>
        <v>1.1681023148148153E-3</v>
      </c>
    </row>
    <row r="13" spans="1:8" ht="3" customHeight="1" thickTop="1" thickBot="1" x14ac:dyDescent="0.25">
      <c r="E13" s="67"/>
      <c r="H13" s="30"/>
    </row>
    <row r="14" spans="1:8" ht="14.25" thickTop="1" thickBot="1" x14ac:dyDescent="0.25">
      <c r="E14" s="67" t="s">
        <v>171</v>
      </c>
      <c r="H14" s="31">
        <f>SUMPRODUCT(B8:F8,B6:F6)+SUMPRODUCT(B7:F7,B6:F6)*AVERAGE(H18:H27)</f>
        <v>8.5599999999999996E-2</v>
      </c>
    </row>
    <row r="15" spans="1:8" ht="4.5" customHeight="1" thickTop="1" thickBot="1" x14ac:dyDescent="0.25"/>
    <row r="16" spans="1:8" ht="13.5" thickTop="1" x14ac:dyDescent="0.2">
      <c r="A16" s="73" t="s">
        <v>127</v>
      </c>
      <c r="B16" s="11"/>
      <c r="C16" s="11"/>
      <c r="D16" s="11"/>
      <c r="E16" s="11"/>
      <c r="F16" s="11"/>
      <c r="G16" s="11"/>
      <c r="H16" s="74"/>
    </row>
    <row r="17" spans="1:9" x14ac:dyDescent="0.2">
      <c r="A17" s="37"/>
      <c r="B17" s="48" t="s">
        <v>86</v>
      </c>
      <c r="C17" s="48" t="s">
        <v>87</v>
      </c>
      <c r="D17" s="48" t="s">
        <v>88</v>
      </c>
      <c r="E17" s="48" t="s">
        <v>89</v>
      </c>
      <c r="F17" s="48" t="s">
        <v>90</v>
      </c>
      <c r="G17" s="48"/>
      <c r="H17" s="49" t="s">
        <v>172</v>
      </c>
    </row>
    <row r="18" spans="1:9" x14ac:dyDescent="0.2">
      <c r="A18" s="13" t="s">
        <v>128</v>
      </c>
      <c r="B18" s="17">
        <v>0.1</v>
      </c>
      <c r="C18" s="17">
        <v>0.15</v>
      </c>
      <c r="D18" s="17">
        <v>0.12</v>
      </c>
      <c r="E18" s="17">
        <v>0.18</v>
      </c>
      <c r="F18" s="17">
        <v>0.05</v>
      </c>
      <c r="G18" s="20"/>
      <c r="H18" s="75">
        <v>0.08</v>
      </c>
    </row>
    <row r="19" spans="1:9" x14ac:dyDescent="0.2">
      <c r="A19" s="13" t="s">
        <v>129</v>
      </c>
      <c r="B19" s="17">
        <v>0.12</v>
      </c>
      <c r="C19" s="17">
        <v>0.17</v>
      </c>
      <c r="D19" s="17">
        <v>0.13</v>
      </c>
      <c r="E19" s="17">
        <v>0.16</v>
      </c>
      <c r="F19" s="17">
        <v>0.08</v>
      </c>
      <c r="G19" s="20"/>
      <c r="H19" s="75">
        <v>0.1</v>
      </c>
    </row>
    <row r="20" spans="1:9" x14ac:dyDescent="0.2">
      <c r="A20" s="13" t="s">
        <v>130</v>
      </c>
      <c r="B20" s="17">
        <v>0.08</v>
      </c>
      <c r="C20" s="17">
        <v>0.04</v>
      </c>
      <c r="D20" s="17">
        <v>0.09</v>
      </c>
      <c r="E20" s="17">
        <v>0.03</v>
      </c>
      <c r="F20" s="17">
        <v>0.1</v>
      </c>
      <c r="G20" s="20"/>
      <c r="H20" s="75">
        <v>0.09</v>
      </c>
    </row>
    <row r="21" spans="1:9" x14ac:dyDescent="0.2">
      <c r="A21" s="13" t="s">
        <v>131</v>
      </c>
      <c r="B21" s="17">
        <v>7.0000000000000007E-2</v>
      </c>
      <c r="C21" s="17">
        <v>-0.08</v>
      </c>
      <c r="D21" s="17">
        <v>7.0000000000000007E-2</v>
      </c>
      <c r="E21" s="17">
        <v>0.04</v>
      </c>
      <c r="F21" s="17">
        <v>0.09</v>
      </c>
      <c r="G21" s="20"/>
      <c r="H21" s="75">
        <v>7.0000000000000007E-2</v>
      </c>
    </row>
    <row r="22" spans="1:9" x14ac:dyDescent="0.2">
      <c r="A22" s="13" t="s">
        <v>132</v>
      </c>
      <c r="B22" s="17">
        <v>0.09</v>
      </c>
      <c r="C22" s="17">
        <v>0.15</v>
      </c>
      <c r="D22" s="17">
        <v>0.09</v>
      </c>
      <c r="E22" s="17">
        <v>0.08</v>
      </c>
      <c r="F22" s="17">
        <v>0.05</v>
      </c>
      <c r="G22" s="20"/>
      <c r="H22" s="75">
        <v>0.04</v>
      </c>
    </row>
    <row r="23" spans="1:9" x14ac:dyDescent="0.2">
      <c r="A23" s="13" t="s">
        <v>133</v>
      </c>
      <c r="B23" s="17">
        <v>7.0000000000000007E-2</v>
      </c>
      <c r="C23" s="17">
        <v>0.22</v>
      </c>
      <c r="D23" s="17">
        <v>0.11</v>
      </c>
      <c r="E23" s="17">
        <v>0.1</v>
      </c>
      <c r="F23" s="17">
        <v>0.04</v>
      </c>
      <c r="G23" s="20"/>
      <c r="H23" s="75">
        <v>0.06</v>
      </c>
    </row>
    <row r="24" spans="1:9" x14ac:dyDescent="0.2">
      <c r="A24" s="13" t="s">
        <v>134</v>
      </c>
      <c r="B24" s="17">
        <v>0.08</v>
      </c>
      <c r="C24" s="17">
        <v>0.03</v>
      </c>
      <c r="D24" s="17">
        <v>0.09</v>
      </c>
      <c r="E24" s="17">
        <v>-0.03</v>
      </c>
      <c r="F24" s="17">
        <v>0.04</v>
      </c>
      <c r="G24" s="20"/>
      <c r="H24" s="75">
        <v>0.05</v>
      </c>
    </row>
    <row r="25" spans="1:9" x14ac:dyDescent="0.2">
      <c r="A25" s="13" t="s">
        <v>135</v>
      </c>
      <c r="B25" s="17">
        <v>0.06</v>
      </c>
      <c r="C25" s="17">
        <v>-0.14000000000000001</v>
      </c>
      <c r="D25" s="17">
        <v>0.06</v>
      </c>
      <c r="E25" s="17">
        <v>0.15</v>
      </c>
      <c r="F25" s="17">
        <v>0.06</v>
      </c>
      <c r="G25" s="20"/>
      <c r="H25" s="75">
        <v>0.05</v>
      </c>
    </row>
    <row r="26" spans="1:9" x14ac:dyDescent="0.2">
      <c r="A26" s="13" t="s">
        <v>136</v>
      </c>
      <c r="B26" s="17">
        <v>0.09</v>
      </c>
      <c r="C26" s="17">
        <v>0.02</v>
      </c>
      <c r="D26" s="17">
        <v>0.08</v>
      </c>
      <c r="E26" s="17">
        <v>0.2</v>
      </c>
      <c r="F26" s="17">
        <v>0.08</v>
      </c>
      <c r="G26" s="20"/>
      <c r="H26" s="75">
        <v>0.06</v>
      </c>
    </row>
    <row r="27" spans="1:9" ht="13.5" thickBot="1" x14ac:dyDescent="0.25">
      <c r="A27" s="22" t="s">
        <v>137</v>
      </c>
      <c r="B27" s="23">
        <v>0.11</v>
      </c>
      <c r="C27" s="23">
        <v>0.15</v>
      </c>
      <c r="D27" s="23">
        <v>0.1</v>
      </c>
      <c r="E27" s="23">
        <v>0.16</v>
      </c>
      <c r="F27" s="23">
        <v>0.1</v>
      </c>
      <c r="G27" s="24"/>
      <c r="H27" s="76">
        <v>0.08</v>
      </c>
    </row>
    <row r="28" spans="1:9" ht="13.5" thickTop="1" x14ac:dyDescent="0.2"/>
    <row r="29" spans="1:9" ht="13.5" thickBot="1" x14ac:dyDescent="0.25"/>
    <row r="30" spans="1:9" ht="13.5" thickTop="1" x14ac:dyDescent="0.2">
      <c r="A30" s="161" t="s">
        <v>99</v>
      </c>
      <c r="B30" s="150"/>
      <c r="C30" s="151"/>
      <c r="D30" s="151"/>
      <c r="E30" s="151"/>
      <c r="F30" s="151"/>
      <c r="G30" s="151"/>
      <c r="H30" s="151"/>
      <c r="I30" s="152"/>
    </row>
    <row r="31" spans="1:9" x14ac:dyDescent="0.2">
      <c r="A31" s="153" t="s">
        <v>173</v>
      </c>
      <c r="B31" s="154"/>
      <c r="C31" s="155"/>
      <c r="D31" s="155"/>
      <c r="E31" s="155"/>
      <c r="F31" s="155"/>
      <c r="G31" s="155"/>
      <c r="H31" s="155"/>
      <c r="I31" s="156"/>
    </row>
    <row r="32" spans="1:9" x14ac:dyDescent="0.2">
      <c r="A32" s="153" t="s">
        <v>174</v>
      </c>
      <c r="B32" s="154"/>
      <c r="C32" s="155"/>
      <c r="D32" s="155"/>
      <c r="E32" s="155"/>
      <c r="F32" s="155"/>
      <c r="G32" s="155"/>
      <c r="H32" s="155"/>
      <c r="I32" s="156"/>
    </row>
    <row r="33" spans="1:9" x14ac:dyDescent="0.2">
      <c r="A33" s="153" t="s">
        <v>103</v>
      </c>
      <c r="B33" s="154"/>
      <c r="C33" s="155"/>
      <c r="D33" s="155"/>
      <c r="E33" s="155"/>
      <c r="F33" s="155"/>
      <c r="G33" s="155"/>
      <c r="H33" s="155"/>
      <c r="I33" s="156"/>
    </row>
    <row r="34" spans="1:9" x14ac:dyDescent="0.2">
      <c r="A34" s="162" t="s">
        <v>104</v>
      </c>
      <c r="B34" s="154"/>
      <c r="C34" s="155"/>
      <c r="D34" s="155"/>
      <c r="E34" s="155"/>
      <c r="F34" s="155"/>
      <c r="G34" s="155"/>
      <c r="H34" s="155"/>
      <c r="I34" s="156"/>
    </row>
    <row r="35" spans="1:9" x14ac:dyDescent="0.2">
      <c r="A35" s="153" t="s">
        <v>175</v>
      </c>
      <c r="B35" s="154"/>
      <c r="C35" s="155"/>
      <c r="D35" s="155"/>
      <c r="E35" s="155"/>
      <c r="F35" s="155"/>
      <c r="G35" s="155"/>
      <c r="H35" s="155"/>
      <c r="I35" s="156"/>
    </row>
    <row r="36" spans="1:9" x14ac:dyDescent="0.2">
      <c r="A36" s="153" t="s">
        <v>176</v>
      </c>
      <c r="B36" s="154"/>
      <c r="C36" s="155"/>
      <c r="D36" s="155"/>
      <c r="E36" s="155"/>
      <c r="F36" s="155"/>
      <c r="G36" s="155"/>
      <c r="H36" s="155"/>
      <c r="I36" s="156"/>
    </row>
    <row r="37" spans="1:9" x14ac:dyDescent="0.2">
      <c r="A37" s="153" t="s">
        <v>177</v>
      </c>
      <c r="B37" s="154"/>
      <c r="C37" s="155"/>
      <c r="D37" s="155"/>
      <c r="E37" s="155"/>
      <c r="F37" s="155"/>
      <c r="G37" s="155"/>
      <c r="H37" s="155"/>
      <c r="I37" s="156"/>
    </row>
    <row r="38" spans="1:9" x14ac:dyDescent="0.2">
      <c r="A38" s="153" t="s">
        <v>108</v>
      </c>
      <c r="B38" s="154"/>
      <c r="C38" s="155"/>
      <c r="D38" s="155"/>
      <c r="E38" s="155"/>
      <c r="F38" s="155"/>
      <c r="G38" s="155"/>
      <c r="H38" s="155"/>
      <c r="I38" s="156"/>
    </row>
    <row r="39" spans="1:9" x14ac:dyDescent="0.2">
      <c r="A39" s="153"/>
      <c r="B39" s="154" t="s">
        <v>178</v>
      </c>
      <c r="C39" s="155"/>
      <c r="D39" s="155"/>
      <c r="E39" s="155"/>
      <c r="F39" s="155"/>
      <c r="G39" s="155"/>
      <c r="H39" s="155"/>
      <c r="I39" s="156"/>
    </row>
    <row r="40" spans="1:9" x14ac:dyDescent="0.2">
      <c r="A40" s="153"/>
      <c r="B40" s="154" t="s">
        <v>179</v>
      </c>
      <c r="C40" s="155"/>
      <c r="D40" s="155"/>
      <c r="E40" s="155"/>
      <c r="F40" s="155"/>
      <c r="G40" s="155"/>
      <c r="H40" s="155"/>
      <c r="I40" s="156"/>
    </row>
    <row r="41" spans="1:9" x14ac:dyDescent="0.2">
      <c r="A41" s="153" t="s">
        <v>180</v>
      </c>
      <c r="B41" s="154"/>
      <c r="C41" s="155"/>
      <c r="D41" s="155"/>
      <c r="E41" s="155"/>
      <c r="F41" s="155"/>
      <c r="G41" s="155"/>
      <c r="H41" s="155"/>
      <c r="I41" s="156"/>
    </row>
    <row r="42" spans="1:9" x14ac:dyDescent="0.2">
      <c r="A42" s="153" t="s">
        <v>181</v>
      </c>
      <c r="B42" s="154"/>
      <c r="C42" s="155"/>
      <c r="D42" s="155"/>
      <c r="E42" s="155"/>
      <c r="F42" s="155"/>
      <c r="G42" s="155"/>
      <c r="H42" s="155"/>
      <c r="I42" s="156"/>
    </row>
    <row r="43" spans="1:9" x14ac:dyDescent="0.2">
      <c r="A43" s="153"/>
      <c r="B43" s="154" t="s">
        <v>182</v>
      </c>
      <c r="C43" s="155"/>
      <c r="D43" s="155"/>
      <c r="E43" s="155"/>
      <c r="F43" s="155"/>
      <c r="G43" s="155"/>
      <c r="H43" s="155"/>
      <c r="I43" s="156"/>
    </row>
    <row r="44" spans="1:9" x14ac:dyDescent="0.2">
      <c r="A44" s="153" t="s">
        <v>183</v>
      </c>
      <c r="B44" s="154"/>
      <c r="C44" s="155"/>
      <c r="D44" s="155"/>
      <c r="E44" s="155"/>
      <c r="F44" s="155"/>
      <c r="G44" s="155"/>
      <c r="H44" s="155"/>
      <c r="I44" s="156"/>
    </row>
    <row r="45" spans="1:9" x14ac:dyDescent="0.2">
      <c r="A45" s="153" t="s">
        <v>184</v>
      </c>
      <c r="B45" s="154"/>
      <c r="C45" s="155"/>
      <c r="D45" s="155"/>
      <c r="E45" s="155"/>
      <c r="F45" s="155"/>
      <c r="G45" s="155"/>
      <c r="H45" s="155"/>
      <c r="I45" s="156"/>
    </row>
    <row r="46" spans="1:9" x14ac:dyDescent="0.2">
      <c r="A46" s="153"/>
      <c r="B46" s="154"/>
      <c r="C46" s="155"/>
      <c r="D46" s="155"/>
      <c r="E46" s="155"/>
      <c r="F46" s="155"/>
      <c r="G46" s="155"/>
      <c r="H46" s="155"/>
      <c r="I46" s="156"/>
    </row>
    <row r="47" spans="1:9" x14ac:dyDescent="0.2">
      <c r="A47" s="162" t="s">
        <v>116</v>
      </c>
      <c r="B47" s="154"/>
      <c r="C47" s="155"/>
      <c r="D47" s="155"/>
      <c r="E47" s="155"/>
      <c r="F47" s="155"/>
      <c r="G47" s="155"/>
      <c r="H47" s="155"/>
      <c r="I47" s="156"/>
    </row>
    <row r="48" spans="1:9" x14ac:dyDescent="0.2">
      <c r="A48" s="153" t="s">
        <v>185</v>
      </c>
      <c r="B48" s="154"/>
      <c r="C48" s="155"/>
      <c r="D48" s="155"/>
      <c r="E48" s="155"/>
      <c r="F48" s="155"/>
      <c r="G48" s="155"/>
      <c r="H48" s="155"/>
      <c r="I48" s="156"/>
    </row>
    <row r="49" spans="1:9" x14ac:dyDescent="0.2">
      <c r="A49" s="153" t="s">
        <v>186</v>
      </c>
      <c r="B49" s="154"/>
      <c r="C49" s="155"/>
      <c r="D49" s="155"/>
      <c r="E49" s="155"/>
      <c r="F49" s="155"/>
      <c r="G49" s="155"/>
      <c r="H49" s="155"/>
      <c r="I49" s="156"/>
    </row>
    <row r="50" spans="1:9" x14ac:dyDescent="0.2">
      <c r="A50" s="153" t="s">
        <v>187</v>
      </c>
      <c r="B50" s="154"/>
      <c r="C50" s="155"/>
      <c r="D50" s="155"/>
      <c r="E50" s="155"/>
      <c r="F50" s="155"/>
      <c r="G50" s="155"/>
      <c r="H50" s="155"/>
      <c r="I50" s="156"/>
    </row>
    <row r="51" spans="1:9" x14ac:dyDescent="0.2">
      <c r="A51" s="169" t="s">
        <v>188</v>
      </c>
      <c r="B51" s="145"/>
      <c r="C51" s="145"/>
      <c r="D51" s="145"/>
      <c r="E51" s="145"/>
      <c r="F51" s="145"/>
      <c r="G51" s="145"/>
      <c r="H51" s="145"/>
      <c r="I51" s="146"/>
    </row>
    <row r="52" spans="1:9" ht="13.5" thickBot="1" x14ac:dyDescent="0.25">
      <c r="A52" s="170" t="s">
        <v>189</v>
      </c>
      <c r="B52" s="148"/>
      <c r="C52" s="148"/>
      <c r="D52" s="148"/>
      <c r="E52" s="148"/>
      <c r="F52" s="148"/>
      <c r="G52" s="148"/>
      <c r="H52" s="148"/>
      <c r="I52" s="149"/>
    </row>
    <row r="53" spans="1:9" ht="13.5" thickTop="1" x14ac:dyDescent="0.2"/>
  </sheetData>
  <printOptions gridLinesSet="0"/>
  <pageMargins left="0.75" right="0.75" top="1" bottom="1" header="0.5" footer="0.5"/>
  <pageSetup orientation="portrait" horizontalDpi="4294967292" verticalDpi="4294967292" copies="0"/>
  <headerFooter alignWithMargins="0">
    <oddHeader>&amp;F</oddHeader>
    <oddFooter>Page &amp;P</oddFooter>
  </headerFooter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I36"/>
  <sheetViews>
    <sheetView showGridLines="0" workbookViewId="0"/>
  </sheetViews>
  <sheetFormatPr defaultColWidth="7.85546875" defaultRowHeight="12.75" x14ac:dyDescent="0.2"/>
  <cols>
    <col min="1" max="1" width="14.85546875" customWidth="1"/>
    <col min="8" max="8" width="0.85546875" customWidth="1"/>
  </cols>
  <sheetData>
    <row r="1" spans="1:9" ht="13.5" thickBot="1" x14ac:dyDescent="0.25">
      <c r="A1" s="1" t="s">
        <v>190</v>
      </c>
    </row>
    <row r="2" spans="1:9" ht="13.5" thickTop="1" x14ac:dyDescent="0.2">
      <c r="A2" s="2" t="s">
        <v>191</v>
      </c>
      <c r="B2" s="3"/>
      <c r="C2" s="3"/>
      <c r="D2" s="3"/>
      <c r="E2" s="3"/>
      <c r="F2" s="3"/>
      <c r="G2" s="3"/>
      <c r="H2" s="3"/>
      <c r="I2" s="4"/>
    </row>
    <row r="3" spans="1:9" ht="13.5" thickBot="1" x14ac:dyDescent="0.25">
      <c r="A3" s="5" t="s">
        <v>192</v>
      </c>
      <c r="B3" s="6"/>
      <c r="C3" s="6"/>
      <c r="D3" s="6"/>
      <c r="E3" s="6"/>
      <c r="F3" s="6"/>
      <c r="G3" s="6"/>
      <c r="H3" s="6"/>
      <c r="I3" s="7"/>
    </row>
    <row r="4" spans="1:9" ht="6" customHeight="1" thickTop="1" thickBot="1" x14ac:dyDescent="0.25">
      <c r="A4" s="8"/>
      <c r="B4" s="8"/>
      <c r="C4" s="8"/>
      <c r="D4" s="8"/>
      <c r="E4" s="8"/>
      <c r="F4" s="8"/>
      <c r="G4" s="8"/>
      <c r="H4" s="8"/>
    </row>
    <row r="5" spans="1:9" ht="14.25" thickTop="1" thickBot="1" x14ac:dyDescent="0.25">
      <c r="A5" s="9"/>
      <c r="B5" s="10" t="s">
        <v>193</v>
      </c>
      <c r="C5" s="10" t="s">
        <v>194</v>
      </c>
      <c r="D5" s="10" t="s">
        <v>195</v>
      </c>
      <c r="E5" s="10" t="s">
        <v>196</v>
      </c>
      <c r="F5" s="10" t="s">
        <v>197</v>
      </c>
      <c r="G5" s="10" t="s">
        <v>198</v>
      </c>
      <c r="H5" s="11"/>
      <c r="I5" s="12" t="s">
        <v>91</v>
      </c>
    </row>
    <row r="6" spans="1:9" ht="14.25" thickTop="1" thickBot="1" x14ac:dyDescent="0.25">
      <c r="A6" s="13" t="s">
        <v>92</v>
      </c>
      <c r="B6" s="14">
        <v>0.2</v>
      </c>
      <c r="C6" s="15">
        <v>0.2</v>
      </c>
      <c r="D6" s="15">
        <v>0.2</v>
      </c>
      <c r="E6" s="15">
        <v>0.2</v>
      </c>
      <c r="F6" s="15">
        <v>0.1</v>
      </c>
      <c r="G6" s="16">
        <v>0.1</v>
      </c>
      <c r="H6" s="17"/>
      <c r="I6" s="18">
        <f>SUM(B6:G6)</f>
        <v>1</v>
      </c>
    </row>
    <row r="7" spans="1:9" ht="13.5" thickTop="1" x14ac:dyDescent="0.2">
      <c r="A7" s="19" t="s">
        <v>199</v>
      </c>
      <c r="B7" s="20">
        <v>2.8</v>
      </c>
      <c r="C7" s="20">
        <v>3.1</v>
      </c>
      <c r="D7" s="20">
        <v>3.7</v>
      </c>
      <c r="E7" s="20">
        <v>3.5</v>
      </c>
      <c r="F7" s="20">
        <v>3.8</v>
      </c>
      <c r="G7" s="20">
        <v>4</v>
      </c>
      <c r="H7" s="20"/>
      <c r="I7" s="21"/>
    </row>
    <row r="8" spans="1:9" ht="13.5" thickBot="1" x14ac:dyDescent="0.25">
      <c r="A8" s="22" t="s">
        <v>200</v>
      </c>
      <c r="B8" s="23">
        <v>0.08</v>
      </c>
      <c r="C8" s="23">
        <v>0.06</v>
      </c>
      <c r="D8" s="23">
        <v>0.1</v>
      </c>
      <c r="E8" s="23">
        <v>0.09</v>
      </c>
      <c r="F8" s="23">
        <v>0.08</v>
      </c>
      <c r="G8" s="23">
        <v>0.05</v>
      </c>
      <c r="H8" s="24"/>
      <c r="I8" s="25"/>
    </row>
    <row r="9" spans="1:9" ht="5.25" customHeight="1" thickTop="1" thickBot="1" x14ac:dyDescent="0.25"/>
    <row r="10" spans="1:9" ht="14.25" thickTop="1" thickBot="1" x14ac:dyDescent="0.25">
      <c r="B10" s="26"/>
      <c r="E10" s="26"/>
      <c r="F10" s="27" t="s">
        <v>201</v>
      </c>
      <c r="G10" s="28">
        <v>3.8</v>
      </c>
    </row>
    <row r="11" spans="1:9" ht="14.25" thickTop="1" thickBot="1" x14ac:dyDescent="0.25">
      <c r="D11" s="29"/>
      <c r="F11" s="27" t="s">
        <v>202</v>
      </c>
      <c r="G11">
        <f>SUMPRODUCT(B6:G6,B7:G7)</f>
        <v>3.4000000000000004</v>
      </c>
    </row>
    <row r="12" spans="1:9" ht="14.25" thickTop="1" thickBot="1" x14ac:dyDescent="0.25">
      <c r="B12" s="30"/>
      <c r="D12" s="29"/>
      <c r="F12" s="27" t="s">
        <v>203</v>
      </c>
      <c r="G12" s="31">
        <f>SUMPRODUCT(B6:G6,B8:G8)</f>
        <v>7.9000000000000015E-2</v>
      </c>
    </row>
    <row r="13" spans="1:9" ht="13.5" thickTop="1" x14ac:dyDescent="0.2"/>
    <row r="14" spans="1:9" ht="13.5" thickBot="1" x14ac:dyDescent="0.25"/>
    <row r="15" spans="1:9" ht="13.5" thickTop="1" x14ac:dyDescent="0.2">
      <c r="A15" s="174" t="s">
        <v>99</v>
      </c>
      <c r="B15" s="171"/>
      <c r="C15" s="142"/>
      <c r="D15" s="142"/>
      <c r="E15" s="142"/>
      <c r="F15" s="142"/>
      <c r="G15" s="142"/>
      <c r="H15" s="142"/>
      <c r="I15" s="143"/>
    </row>
    <row r="16" spans="1:9" x14ac:dyDescent="0.2">
      <c r="A16" s="169" t="s">
        <v>204</v>
      </c>
      <c r="B16" s="172"/>
      <c r="C16" s="145"/>
      <c r="D16" s="145"/>
      <c r="E16" s="145"/>
      <c r="F16" s="145"/>
      <c r="G16" s="145"/>
      <c r="H16" s="145"/>
      <c r="I16" s="146"/>
    </row>
    <row r="17" spans="1:9" x14ac:dyDescent="0.2">
      <c r="A17" s="169" t="s">
        <v>205</v>
      </c>
      <c r="B17" s="172"/>
      <c r="C17" s="145"/>
      <c r="D17" s="145"/>
      <c r="E17" s="145"/>
      <c r="F17" s="145"/>
      <c r="G17" s="145"/>
      <c r="H17" s="145"/>
      <c r="I17" s="146"/>
    </row>
    <row r="18" spans="1:9" x14ac:dyDescent="0.2">
      <c r="A18" s="169" t="s">
        <v>206</v>
      </c>
      <c r="B18" s="172"/>
      <c r="C18" s="145"/>
      <c r="D18" s="145"/>
      <c r="E18" s="145"/>
      <c r="F18" s="145"/>
      <c r="G18" s="145"/>
      <c r="H18" s="145"/>
      <c r="I18" s="146"/>
    </row>
    <row r="19" spans="1:9" x14ac:dyDescent="0.2">
      <c r="A19" s="169" t="s">
        <v>207</v>
      </c>
      <c r="B19" s="172"/>
      <c r="C19" s="145"/>
      <c r="D19" s="145"/>
      <c r="E19" s="145"/>
      <c r="F19" s="145"/>
      <c r="G19" s="145"/>
      <c r="H19" s="145"/>
      <c r="I19" s="146"/>
    </row>
    <row r="20" spans="1:9" x14ac:dyDescent="0.2">
      <c r="A20" s="169" t="s">
        <v>208</v>
      </c>
      <c r="B20" s="172"/>
      <c r="C20" s="145"/>
      <c r="D20" s="145"/>
      <c r="E20" s="145"/>
      <c r="F20" s="145"/>
      <c r="G20" s="145"/>
      <c r="H20" s="145"/>
      <c r="I20" s="146"/>
    </row>
    <row r="21" spans="1:9" x14ac:dyDescent="0.2">
      <c r="A21" s="169" t="s">
        <v>209</v>
      </c>
      <c r="B21" s="172"/>
      <c r="C21" s="145"/>
      <c r="D21" s="145"/>
      <c r="E21" s="145"/>
      <c r="F21" s="145"/>
      <c r="G21" s="145"/>
      <c r="H21" s="145"/>
      <c r="I21" s="146"/>
    </row>
    <row r="22" spans="1:9" x14ac:dyDescent="0.2">
      <c r="A22" s="169"/>
      <c r="B22" s="172"/>
      <c r="C22" s="145"/>
      <c r="D22" s="145"/>
      <c r="E22" s="145"/>
      <c r="F22" s="145"/>
      <c r="G22" s="145"/>
      <c r="H22" s="145"/>
      <c r="I22" s="146"/>
    </row>
    <row r="23" spans="1:9" x14ac:dyDescent="0.2">
      <c r="A23" s="175" t="s">
        <v>104</v>
      </c>
      <c r="B23" s="172"/>
      <c r="C23" s="145"/>
      <c r="D23" s="145"/>
      <c r="E23" s="145"/>
      <c r="F23" s="145"/>
      <c r="G23" s="145"/>
      <c r="H23" s="145"/>
      <c r="I23" s="146"/>
    </row>
    <row r="24" spans="1:9" x14ac:dyDescent="0.2">
      <c r="A24" s="169" t="s">
        <v>210</v>
      </c>
      <c r="B24" s="172"/>
      <c r="C24" s="145"/>
      <c r="D24" s="145"/>
      <c r="E24" s="145"/>
      <c r="F24" s="145"/>
      <c r="G24" s="145"/>
      <c r="H24" s="145"/>
      <c r="I24" s="146"/>
    </row>
    <row r="25" spans="1:9" x14ac:dyDescent="0.2">
      <c r="A25" s="169" t="s">
        <v>211</v>
      </c>
      <c r="B25" s="172"/>
      <c r="C25" s="145"/>
      <c r="D25" s="145"/>
      <c r="E25" s="145"/>
      <c r="F25" s="145"/>
      <c r="G25" s="145"/>
      <c r="H25" s="145"/>
      <c r="I25" s="146"/>
    </row>
    <row r="26" spans="1:9" x14ac:dyDescent="0.2">
      <c r="A26" s="169" t="s">
        <v>212</v>
      </c>
      <c r="B26" s="172"/>
      <c r="C26" s="145"/>
      <c r="D26" s="145"/>
      <c r="E26" s="145"/>
      <c r="F26" s="145"/>
      <c r="G26" s="145"/>
      <c r="H26" s="145"/>
      <c r="I26" s="146"/>
    </row>
    <row r="27" spans="1:9" x14ac:dyDescent="0.2">
      <c r="A27" s="169"/>
      <c r="B27" s="172" t="s">
        <v>213</v>
      </c>
      <c r="C27" s="145"/>
      <c r="D27" s="145"/>
      <c r="E27" s="145"/>
      <c r="F27" s="145"/>
      <c r="G27" s="145"/>
      <c r="H27" s="145"/>
      <c r="I27" s="146"/>
    </row>
    <row r="28" spans="1:9" x14ac:dyDescent="0.2">
      <c r="A28" s="169"/>
      <c r="B28" s="172" t="s">
        <v>214</v>
      </c>
      <c r="C28" s="145"/>
      <c r="D28" s="145"/>
      <c r="E28" s="145"/>
      <c r="F28" s="145"/>
      <c r="G28" s="145"/>
      <c r="H28" s="145"/>
      <c r="I28" s="146"/>
    </row>
    <row r="29" spans="1:9" x14ac:dyDescent="0.2">
      <c r="A29" s="169" t="s">
        <v>215</v>
      </c>
      <c r="B29" s="172"/>
      <c r="C29" s="145"/>
      <c r="D29" s="145"/>
      <c r="E29" s="145"/>
      <c r="F29" s="145"/>
      <c r="G29" s="145"/>
      <c r="H29" s="145"/>
      <c r="I29" s="146"/>
    </row>
    <row r="30" spans="1:9" x14ac:dyDescent="0.2">
      <c r="A30" s="169"/>
      <c r="B30" s="172" t="s">
        <v>216</v>
      </c>
      <c r="C30" s="145"/>
      <c r="D30" s="145"/>
      <c r="E30" s="145"/>
      <c r="F30" s="145"/>
      <c r="G30" s="145"/>
      <c r="H30" s="145"/>
      <c r="I30" s="146"/>
    </row>
    <row r="31" spans="1:9" x14ac:dyDescent="0.2">
      <c r="A31" s="169" t="s">
        <v>217</v>
      </c>
      <c r="B31" s="172"/>
      <c r="C31" s="145"/>
      <c r="D31" s="145"/>
      <c r="E31" s="145"/>
      <c r="F31" s="145"/>
      <c r="G31" s="145"/>
      <c r="H31" s="145"/>
      <c r="I31" s="146"/>
    </row>
    <row r="32" spans="1:9" x14ac:dyDescent="0.2">
      <c r="A32" s="169"/>
      <c r="B32" s="172"/>
      <c r="C32" s="145"/>
      <c r="D32" s="145"/>
      <c r="E32" s="145"/>
      <c r="F32" s="145"/>
      <c r="G32" s="145"/>
      <c r="H32" s="145"/>
      <c r="I32" s="146"/>
    </row>
    <row r="33" spans="1:9" x14ac:dyDescent="0.2">
      <c r="A33" s="175" t="s">
        <v>116</v>
      </c>
      <c r="B33" s="172"/>
      <c r="C33" s="145"/>
      <c r="D33" s="145"/>
      <c r="E33" s="145"/>
      <c r="F33" s="145"/>
      <c r="G33" s="145"/>
      <c r="H33" s="145"/>
      <c r="I33" s="146"/>
    </row>
    <row r="34" spans="1:9" x14ac:dyDescent="0.2">
      <c r="A34" s="169" t="s">
        <v>218</v>
      </c>
      <c r="B34" s="172"/>
      <c r="C34" s="145"/>
      <c r="D34" s="145"/>
      <c r="E34" s="145"/>
      <c r="F34" s="145"/>
      <c r="G34" s="145"/>
      <c r="H34" s="145"/>
      <c r="I34" s="146"/>
    </row>
    <row r="35" spans="1:9" ht="13.5" thickBot="1" x14ac:dyDescent="0.25">
      <c r="A35" s="170" t="s">
        <v>219</v>
      </c>
      <c r="B35" s="173"/>
      <c r="C35" s="148"/>
      <c r="D35" s="148"/>
      <c r="E35" s="148"/>
      <c r="F35" s="148"/>
      <c r="G35" s="148"/>
      <c r="H35" s="148"/>
      <c r="I35" s="149"/>
    </row>
    <row r="36" spans="1:9" ht="13.5" thickTop="1" x14ac:dyDescent="0.2"/>
  </sheetData>
  <printOptions gridLinesSet="0"/>
  <pageMargins left="0.75" right="0.75" top="1" bottom="1" header="0.5" footer="0.5"/>
  <pageSetup orientation="portrait" horizontalDpi="4294967292" verticalDpi="4294967292" copies="0"/>
  <headerFooter alignWithMargins="0">
    <oddHeader>&amp;F</oddHeader>
    <oddFooter>Page &amp;P</oddFooter>
  </headerFooter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I45"/>
  <sheetViews>
    <sheetView showGridLines="0" workbookViewId="0"/>
  </sheetViews>
  <sheetFormatPr defaultColWidth="7.85546875" defaultRowHeight="12.75" x14ac:dyDescent="0.2"/>
  <cols>
    <col min="1" max="1" width="14.85546875" customWidth="1"/>
    <col min="8" max="8" width="0.85546875" customWidth="1"/>
  </cols>
  <sheetData>
    <row r="1" spans="1:9" ht="13.5" thickBot="1" x14ac:dyDescent="0.25">
      <c r="A1" s="1" t="s">
        <v>190</v>
      </c>
    </row>
    <row r="2" spans="1:9" ht="13.5" thickTop="1" x14ac:dyDescent="0.2">
      <c r="A2" s="2" t="s">
        <v>220</v>
      </c>
      <c r="B2" s="3"/>
      <c r="C2" s="3"/>
      <c r="D2" s="3"/>
      <c r="E2" s="3"/>
      <c r="F2" s="3"/>
      <c r="G2" s="3"/>
      <c r="H2" s="3"/>
      <c r="I2" s="4"/>
    </row>
    <row r="3" spans="1:9" x14ac:dyDescent="0.2">
      <c r="A3" s="32" t="s">
        <v>192</v>
      </c>
      <c r="B3" s="33"/>
      <c r="C3" s="33"/>
      <c r="D3" s="33"/>
      <c r="E3" s="33"/>
      <c r="F3" s="33"/>
      <c r="G3" s="33"/>
      <c r="H3" s="33"/>
      <c r="I3" s="34"/>
    </row>
    <row r="4" spans="1:9" ht="13.5" thickBot="1" x14ac:dyDescent="0.25">
      <c r="A4" s="35" t="s">
        <v>221</v>
      </c>
      <c r="B4" s="6"/>
      <c r="C4" s="6"/>
      <c r="D4" s="6"/>
      <c r="E4" s="6"/>
      <c r="F4" s="6"/>
      <c r="G4" s="6"/>
      <c r="H4" s="6"/>
      <c r="I4" s="7"/>
    </row>
    <row r="5" spans="1:9" ht="6" customHeight="1" thickTop="1" thickBot="1" x14ac:dyDescent="0.25">
      <c r="A5" s="8"/>
      <c r="B5" s="8"/>
      <c r="C5" s="8"/>
      <c r="D5" s="8"/>
      <c r="E5" s="8"/>
      <c r="F5" s="8"/>
      <c r="G5" s="8"/>
      <c r="H5" s="8"/>
    </row>
    <row r="6" spans="1:9" ht="14.25" thickTop="1" thickBot="1" x14ac:dyDescent="0.25">
      <c r="A6" s="9"/>
      <c r="B6" s="10" t="s">
        <v>193</v>
      </c>
      <c r="C6" s="10" t="s">
        <v>194</v>
      </c>
      <c r="D6" s="10" t="s">
        <v>195</v>
      </c>
      <c r="E6" s="10" t="s">
        <v>196</v>
      </c>
      <c r="F6" s="10" t="s">
        <v>197</v>
      </c>
      <c r="G6" s="10" t="s">
        <v>198</v>
      </c>
      <c r="H6" s="11"/>
      <c r="I6" s="12" t="s">
        <v>91</v>
      </c>
    </row>
    <row r="7" spans="1:9" ht="14.25" thickTop="1" thickBot="1" x14ac:dyDescent="0.25">
      <c r="A7" s="13" t="s">
        <v>92</v>
      </c>
      <c r="B7" s="14">
        <v>0.2</v>
      </c>
      <c r="C7" s="15">
        <v>0.2</v>
      </c>
      <c r="D7" s="15">
        <v>0.2</v>
      </c>
      <c r="E7" s="15">
        <v>0.2</v>
      </c>
      <c r="F7" s="15">
        <v>0.2</v>
      </c>
      <c r="G7" s="16">
        <v>0.2</v>
      </c>
      <c r="H7" s="17"/>
      <c r="I7" s="18">
        <f>SUM(B7:G7)</f>
        <v>1.2</v>
      </c>
    </row>
    <row r="8" spans="1:9" ht="13.5" thickTop="1" x14ac:dyDescent="0.2">
      <c r="A8" s="13" t="s">
        <v>200</v>
      </c>
      <c r="B8" s="17">
        <v>0.08</v>
      </c>
      <c r="C8" s="17">
        <v>0.06</v>
      </c>
      <c r="D8" s="17">
        <v>0.09</v>
      </c>
      <c r="E8" s="17">
        <v>0.1</v>
      </c>
      <c r="F8" s="17">
        <v>7.0000000000000007E-2</v>
      </c>
      <c r="G8" s="17">
        <v>0.09</v>
      </c>
      <c r="H8" s="20"/>
      <c r="I8" s="21"/>
    </row>
    <row r="9" spans="1:9" x14ac:dyDescent="0.2">
      <c r="A9" s="13" t="s">
        <v>222</v>
      </c>
      <c r="B9" s="36">
        <v>150</v>
      </c>
      <c r="C9" s="36">
        <v>100</v>
      </c>
      <c r="D9" s="36">
        <v>120</v>
      </c>
      <c r="E9" s="36">
        <v>175</v>
      </c>
      <c r="F9" s="36">
        <v>0</v>
      </c>
      <c r="G9" s="36">
        <v>125</v>
      </c>
      <c r="H9" s="20"/>
      <c r="I9" s="21"/>
    </row>
    <row r="10" spans="1:9" x14ac:dyDescent="0.2">
      <c r="A10" s="13" t="s">
        <v>223</v>
      </c>
      <c r="B10" s="36">
        <v>1000</v>
      </c>
      <c r="C10" s="36">
        <v>1000</v>
      </c>
      <c r="D10" s="36">
        <v>1000</v>
      </c>
      <c r="E10" s="36">
        <v>1000</v>
      </c>
      <c r="F10" s="36">
        <v>1000</v>
      </c>
      <c r="G10" s="36">
        <v>1000</v>
      </c>
      <c r="H10" s="20"/>
      <c r="I10" s="21"/>
    </row>
    <row r="11" spans="1:9" ht="4.5" customHeight="1" x14ac:dyDescent="0.2">
      <c r="A11" s="37"/>
      <c r="B11" s="20"/>
      <c r="C11" s="20"/>
      <c r="D11" s="20"/>
      <c r="E11" s="20"/>
      <c r="F11" s="20"/>
      <c r="G11" s="20"/>
      <c r="H11" s="20"/>
      <c r="I11" s="21"/>
    </row>
    <row r="12" spans="1:9" ht="13.5" thickBot="1" x14ac:dyDescent="0.25">
      <c r="A12" s="38" t="s">
        <v>199</v>
      </c>
      <c r="B12" s="24">
        <f t="shared" ref="B12:G12" si="0">DURATION(DATE(93,1,1),DATE(97,1,1),B9/B10,B8,1,1)</f>
        <v>3.3562983556224268</v>
      </c>
      <c r="C12" s="24">
        <f t="shared" si="0"/>
        <v>3.5213612662766085</v>
      </c>
      <c r="D12" s="24">
        <f t="shared" si="0"/>
        <v>3.430418126196058</v>
      </c>
      <c r="E12" s="24">
        <f t="shared" si="0"/>
        <v>3.274476802737043</v>
      </c>
      <c r="F12" s="24">
        <f t="shared" si="0"/>
        <v>4</v>
      </c>
      <c r="G12" s="24">
        <f t="shared" si="0"/>
        <v>3.4153176190270536</v>
      </c>
      <c r="H12" s="24"/>
      <c r="I12" s="25"/>
    </row>
    <row r="13" spans="1:9" ht="5.25" customHeight="1" thickTop="1" thickBot="1" x14ac:dyDescent="0.25"/>
    <row r="14" spans="1:9" ht="14.25" thickTop="1" thickBot="1" x14ac:dyDescent="0.25">
      <c r="E14" s="26"/>
      <c r="F14" s="27" t="s">
        <v>201</v>
      </c>
      <c r="G14" s="28">
        <v>3.5</v>
      </c>
    </row>
    <row r="15" spans="1:9" ht="14.25" thickTop="1" thickBot="1" x14ac:dyDescent="0.25">
      <c r="B15" s="20"/>
      <c r="C15" s="20"/>
      <c r="D15" s="29"/>
      <c r="F15" s="27" t="s">
        <v>202</v>
      </c>
      <c r="G15">
        <f>SUMPRODUCT(B7:G7,B12:G12)</f>
        <v>4.1995744339718382</v>
      </c>
      <c r="H15" s="20"/>
      <c r="I15" s="20"/>
    </row>
    <row r="16" spans="1:9" ht="14.25" thickTop="1" thickBot="1" x14ac:dyDescent="0.25">
      <c r="D16" s="29"/>
      <c r="F16" s="27" t="s">
        <v>203</v>
      </c>
      <c r="G16" s="31">
        <f>SUMPRODUCT(B7:G7,B8:G8)</f>
        <v>9.8000000000000004E-2</v>
      </c>
      <c r="H16" s="20"/>
      <c r="I16" s="20"/>
    </row>
    <row r="17" spans="1:9" ht="13.5" thickTop="1" x14ac:dyDescent="0.2"/>
    <row r="18" spans="1:9" ht="13.5" thickBot="1" x14ac:dyDescent="0.25">
      <c r="B18" s="26"/>
    </row>
    <row r="19" spans="1:9" ht="13.5" thickTop="1" x14ac:dyDescent="0.2">
      <c r="A19" s="174" t="s">
        <v>99</v>
      </c>
      <c r="B19" s="171"/>
      <c r="C19" s="142"/>
      <c r="D19" s="142"/>
      <c r="E19" s="142"/>
      <c r="F19" s="142"/>
      <c r="G19" s="142"/>
      <c r="H19" s="142"/>
      <c r="I19" s="143"/>
    </row>
    <row r="20" spans="1:9" x14ac:dyDescent="0.2">
      <c r="A20" s="169" t="s">
        <v>204</v>
      </c>
      <c r="B20" s="172"/>
      <c r="C20" s="145"/>
      <c r="D20" s="145"/>
      <c r="E20" s="145"/>
      <c r="F20" s="145"/>
      <c r="G20" s="145"/>
      <c r="H20" s="145"/>
      <c r="I20" s="146"/>
    </row>
    <row r="21" spans="1:9" x14ac:dyDescent="0.2">
      <c r="A21" s="169" t="s">
        <v>205</v>
      </c>
      <c r="B21" s="172"/>
      <c r="C21" s="145"/>
      <c r="D21" s="145"/>
      <c r="E21" s="145"/>
      <c r="F21" s="145"/>
      <c r="G21" s="145"/>
      <c r="H21" s="145"/>
      <c r="I21" s="146"/>
    </row>
    <row r="22" spans="1:9" x14ac:dyDescent="0.2">
      <c r="A22" s="169" t="s">
        <v>206</v>
      </c>
      <c r="B22" s="172"/>
      <c r="C22" s="145"/>
      <c r="D22" s="145"/>
      <c r="E22" s="145"/>
      <c r="F22" s="145"/>
      <c r="G22" s="145"/>
      <c r="H22" s="145"/>
      <c r="I22" s="146"/>
    </row>
    <row r="23" spans="1:9" x14ac:dyDescent="0.2">
      <c r="A23" s="169" t="s">
        <v>207</v>
      </c>
      <c r="B23" s="172"/>
      <c r="C23" s="145"/>
      <c r="D23" s="145"/>
      <c r="E23" s="145"/>
      <c r="F23" s="145"/>
      <c r="G23" s="145"/>
      <c r="H23" s="145"/>
      <c r="I23" s="146"/>
    </row>
    <row r="24" spans="1:9" x14ac:dyDescent="0.2">
      <c r="A24" s="169" t="s">
        <v>224</v>
      </c>
      <c r="B24" s="172"/>
      <c r="C24" s="145"/>
      <c r="D24" s="145"/>
      <c r="E24" s="145"/>
      <c r="F24" s="145"/>
      <c r="G24" s="145"/>
      <c r="H24" s="145"/>
      <c r="I24" s="146"/>
    </row>
    <row r="25" spans="1:9" x14ac:dyDescent="0.2">
      <c r="A25" s="169" t="s">
        <v>225</v>
      </c>
      <c r="B25" s="172"/>
      <c r="C25" s="145"/>
      <c r="D25" s="145"/>
      <c r="E25" s="145"/>
      <c r="F25" s="145"/>
      <c r="G25" s="145"/>
      <c r="H25" s="145"/>
      <c r="I25" s="146"/>
    </row>
    <row r="26" spans="1:9" x14ac:dyDescent="0.2">
      <c r="A26" s="169" t="s">
        <v>226</v>
      </c>
      <c r="B26" s="172"/>
      <c r="C26" s="145"/>
      <c r="D26" s="145"/>
      <c r="E26" s="145"/>
      <c r="F26" s="145"/>
      <c r="G26" s="145"/>
      <c r="H26" s="145"/>
      <c r="I26" s="146"/>
    </row>
    <row r="27" spans="1:9" x14ac:dyDescent="0.2">
      <c r="A27" s="169"/>
      <c r="B27" s="172"/>
      <c r="C27" s="145"/>
      <c r="D27" s="145"/>
      <c r="E27" s="145"/>
      <c r="F27" s="145"/>
      <c r="G27" s="145"/>
      <c r="H27" s="145"/>
      <c r="I27" s="146"/>
    </row>
    <row r="28" spans="1:9" x14ac:dyDescent="0.2">
      <c r="A28" s="175" t="s">
        <v>104</v>
      </c>
      <c r="B28" s="172"/>
      <c r="C28" s="145"/>
      <c r="D28" s="145"/>
      <c r="E28" s="145"/>
      <c r="F28" s="145"/>
      <c r="G28" s="145"/>
      <c r="H28" s="145"/>
      <c r="I28" s="146"/>
    </row>
    <row r="29" spans="1:9" x14ac:dyDescent="0.2">
      <c r="A29" s="169" t="s">
        <v>210</v>
      </c>
      <c r="B29" s="172"/>
      <c r="C29" s="145"/>
      <c r="D29" s="145"/>
      <c r="E29" s="145"/>
      <c r="F29" s="145"/>
      <c r="G29" s="145"/>
      <c r="H29" s="145"/>
      <c r="I29" s="146"/>
    </row>
    <row r="30" spans="1:9" x14ac:dyDescent="0.2">
      <c r="A30" s="169" t="s">
        <v>211</v>
      </c>
      <c r="B30" s="172"/>
      <c r="C30" s="145"/>
      <c r="D30" s="145"/>
      <c r="E30" s="145"/>
      <c r="F30" s="145"/>
      <c r="G30" s="145"/>
      <c r="H30" s="145"/>
      <c r="I30" s="146"/>
    </row>
    <row r="31" spans="1:9" x14ac:dyDescent="0.2">
      <c r="A31" s="169" t="s">
        <v>212</v>
      </c>
      <c r="B31" s="172"/>
      <c r="C31" s="145"/>
      <c r="D31" s="145"/>
      <c r="E31" s="145"/>
      <c r="F31" s="145"/>
      <c r="G31" s="145"/>
      <c r="H31" s="145"/>
      <c r="I31" s="146"/>
    </row>
    <row r="32" spans="1:9" x14ac:dyDescent="0.2">
      <c r="A32" s="169"/>
      <c r="B32" s="172" t="s">
        <v>213</v>
      </c>
      <c r="C32" s="145"/>
      <c r="D32" s="145"/>
      <c r="E32" s="145"/>
      <c r="F32" s="145"/>
      <c r="G32" s="145"/>
      <c r="H32" s="145"/>
      <c r="I32" s="146"/>
    </row>
    <row r="33" spans="1:9" x14ac:dyDescent="0.2">
      <c r="A33" s="169"/>
      <c r="B33" s="172" t="s">
        <v>214</v>
      </c>
      <c r="C33" s="145"/>
      <c r="D33" s="145"/>
      <c r="E33" s="145"/>
      <c r="F33" s="145"/>
      <c r="G33" s="145"/>
      <c r="H33" s="145"/>
      <c r="I33" s="146"/>
    </row>
    <row r="34" spans="1:9" x14ac:dyDescent="0.2">
      <c r="A34" s="169" t="s">
        <v>215</v>
      </c>
      <c r="B34" s="172"/>
      <c r="C34" s="145"/>
      <c r="D34" s="145"/>
      <c r="E34" s="145"/>
      <c r="F34" s="145"/>
      <c r="G34" s="145"/>
      <c r="H34" s="145"/>
      <c r="I34" s="146"/>
    </row>
    <row r="35" spans="1:9" x14ac:dyDescent="0.2">
      <c r="A35" s="169"/>
      <c r="B35" s="172" t="s">
        <v>216</v>
      </c>
      <c r="C35" s="145"/>
      <c r="D35" s="145"/>
      <c r="E35" s="145"/>
      <c r="F35" s="145"/>
      <c r="G35" s="145"/>
      <c r="H35" s="145"/>
      <c r="I35" s="146"/>
    </row>
    <row r="36" spans="1:9" x14ac:dyDescent="0.2">
      <c r="A36" s="169" t="s">
        <v>217</v>
      </c>
      <c r="B36" s="172"/>
      <c r="C36" s="145"/>
      <c r="D36" s="145"/>
      <c r="E36" s="145"/>
      <c r="F36" s="145"/>
      <c r="G36" s="145"/>
      <c r="H36" s="145"/>
      <c r="I36" s="146"/>
    </row>
    <row r="37" spans="1:9" x14ac:dyDescent="0.2">
      <c r="A37" s="169"/>
      <c r="B37" s="172"/>
      <c r="C37" s="145"/>
      <c r="D37" s="145"/>
      <c r="E37" s="145"/>
      <c r="F37" s="145"/>
      <c r="G37" s="145"/>
      <c r="H37" s="145"/>
      <c r="I37" s="146"/>
    </row>
    <row r="38" spans="1:9" x14ac:dyDescent="0.2">
      <c r="A38" s="175" t="s">
        <v>116</v>
      </c>
      <c r="B38" s="172"/>
      <c r="C38" s="145"/>
      <c r="D38" s="145"/>
      <c r="E38" s="145"/>
      <c r="F38" s="145"/>
      <c r="G38" s="145"/>
      <c r="H38" s="145"/>
      <c r="I38" s="146"/>
    </row>
    <row r="39" spans="1:9" x14ac:dyDescent="0.2">
      <c r="A39" s="169" t="s">
        <v>227</v>
      </c>
      <c r="B39" s="172"/>
      <c r="C39" s="145"/>
      <c r="D39" s="145"/>
      <c r="E39" s="145"/>
      <c r="F39" s="145"/>
      <c r="G39" s="145"/>
      <c r="H39" s="145"/>
      <c r="I39" s="146"/>
    </row>
    <row r="40" spans="1:9" x14ac:dyDescent="0.2">
      <c r="A40" s="169" t="s">
        <v>228</v>
      </c>
      <c r="B40" s="172"/>
      <c r="C40" s="145"/>
      <c r="D40" s="145"/>
      <c r="E40" s="145"/>
      <c r="F40" s="145"/>
      <c r="G40" s="145"/>
      <c r="H40" s="145"/>
      <c r="I40" s="146"/>
    </row>
    <row r="41" spans="1:9" x14ac:dyDescent="0.2">
      <c r="A41" s="169" t="s">
        <v>229</v>
      </c>
      <c r="B41" s="172"/>
      <c r="C41" s="145"/>
      <c r="D41" s="145"/>
      <c r="E41" s="145"/>
      <c r="F41" s="145"/>
      <c r="G41" s="145"/>
      <c r="H41" s="145"/>
      <c r="I41" s="146"/>
    </row>
    <row r="42" spans="1:9" x14ac:dyDescent="0.2">
      <c r="A42" s="169" t="s">
        <v>230</v>
      </c>
      <c r="B42" s="172"/>
      <c r="C42" s="145"/>
      <c r="D42" s="145"/>
      <c r="E42" s="145"/>
      <c r="F42" s="145"/>
      <c r="G42" s="145"/>
      <c r="H42" s="145"/>
      <c r="I42" s="146"/>
    </row>
    <row r="43" spans="1:9" x14ac:dyDescent="0.2">
      <c r="A43" s="169" t="s">
        <v>231</v>
      </c>
      <c r="B43" s="172"/>
      <c r="C43" s="145"/>
      <c r="D43" s="145"/>
      <c r="E43" s="145"/>
      <c r="F43" s="145"/>
      <c r="G43" s="145"/>
      <c r="H43" s="145"/>
      <c r="I43" s="146"/>
    </row>
    <row r="44" spans="1:9" ht="13.5" thickBot="1" x14ac:dyDescent="0.25">
      <c r="A44" s="170" t="s">
        <v>232</v>
      </c>
      <c r="B44" s="173"/>
      <c r="C44" s="148"/>
      <c r="D44" s="148"/>
      <c r="E44" s="148"/>
      <c r="F44" s="148"/>
      <c r="G44" s="148"/>
      <c r="H44" s="148"/>
      <c r="I44" s="149"/>
    </row>
    <row r="45" spans="1:9" ht="13.5" thickTop="1" x14ac:dyDescent="0.2"/>
  </sheetData>
  <printOptions gridLinesSet="0"/>
  <pageMargins left="0.75" right="0.75" top="1" bottom="1" header="0.5" footer="0.5"/>
  <pageSetup orientation="portrait" horizontalDpi="4294967292" verticalDpi="4294967292" copies="0"/>
  <headerFooter alignWithMargins="0">
    <oddHeader>&amp;F</oddHeader>
    <oddFooter>Page &amp;P</oddFooter>
  </headerFooter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J47"/>
  <sheetViews>
    <sheetView showGridLines="0" workbookViewId="0"/>
  </sheetViews>
  <sheetFormatPr defaultRowHeight="12.75" x14ac:dyDescent="0.2"/>
  <cols>
    <col min="1" max="1" width="16.28515625" customWidth="1"/>
    <col min="2" max="6" width="9.42578125" customWidth="1"/>
    <col min="7" max="7" width="0.5703125" customWidth="1"/>
    <col min="9" max="9" width="0.5703125" customWidth="1"/>
  </cols>
  <sheetData>
    <row r="1" spans="1:10" ht="13.5" thickBot="1" x14ac:dyDescent="0.25">
      <c r="A1" s="1" t="s">
        <v>233</v>
      </c>
    </row>
    <row r="2" spans="1:10" ht="13.5" thickTop="1" x14ac:dyDescent="0.2">
      <c r="A2" s="2" t="s">
        <v>234</v>
      </c>
      <c r="B2" s="39"/>
      <c r="C2" s="39"/>
      <c r="D2" s="39"/>
      <c r="E2" s="39"/>
      <c r="F2" s="4"/>
    </row>
    <row r="3" spans="1:10" x14ac:dyDescent="0.2">
      <c r="A3" s="32" t="s">
        <v>235</v>
      </c>
      <c r="B3" s="40"/>
      <c r="C3" s="40"/>
      <c r="D3" s="40"/>
      <c r="E3" s="40"/>
      <c r="F3" s="34"/>
    </row>
    <row r="4" spans="1:10" ht="13.5" thickBot="1" x14ac:dyDescent="0.25">
      <c r="A4" s="41" t="s">
        <v>236</v>
      </c>
      <c r="B4" s="42">
        <v>7.0000000000000007E-2</v>
      </c>
      <c r="C4" s="43"/>
      <c r="D4" s="43"/>
      <c r="E4" s="43"/>
      <c r="F4" s="7"/>
    </row>
    <row r="5" spans="1:10" ht="4.5" customHeight="1" thickTop="1" thickBot="1" x14ac:dyDescent="0.25">
      <c r="A5" s="44"/>
      <c r="B5" s="45"/>
    </row>
    <row r="6" spans="1:10" ht="13.5" thickTop="1" x14ac:dyDescent="0.2">
      <c r="A6" s="46" t="s">
        <v>237</v>
      </c>
      <c r="B6" s="10"/>
      <c r="C6" s="10"/>
      <c r="D6" s="10"/>
      <c r="E6" s="10"/>
      <c r="F6" s="47"/>
    </row>
    <row r="7" spans="1:10" x14ac:dyDescent="0.2">
      <c r="A7" s="13"/>
      <c r="B7" s="48" t="s">
        <v>193</v>
      </c>
      <c r="C7" s="48" t="s">
        <v>194</v>
      </c>
      <c r="D7" s="48" t="s">
        <v>195</v>
      </c>
      <c r="E7" s="48" t="s">
        <v>196</v>
      </c>
      <c r="F7" s="49" t="s">
        <v>197</v>
      </c>
    </row>
    <row r="8" spans="1:10" x14ac:dyDescent="0.2">
      <c r="A8" s="13" t="s">
        <v>223</v>
      </c>
      <c r="B8" s="50">
        <v>1000</v>
      </c>
      <c r="C8" s="50">
        <v>1000</v>
      </c>
      <c r="D8" s="50">
        <v>1000</v>
      </c>
      <c r="E8" s="50">
        <v>1000</v>
      </c>
      <c r="F8" s="51">
        <v>1000</v>
      </c>
    </row>
    <row r="9" spans="1:10" x14ac:dyDescent="0.2">
      <c r="A9" s="13" t="s">
        <v>222</v>
      </c>
      <c r="B9" s="50">
        <v>100</v>
      </c>
      <c r="C9" s="50">
        <v>125</v>
      </c>
      <c r="D9" s="50">
        <v>150</v>
      </c>
      <c r="E9" s="50">
        <v>200</v>
      </c>
      <c r="F9" s="51">
        <v>75</v>
      </c>
    </row>
    <row r="10" spans="1:10" x14ac:dyDescent="0.2">
      <c r="A10" s="13" t="s">
        <v>238</v>
      </c>
      <c r="B10" s="20">
        <v>3</v>
      </c>
      <c r="C10" s="20">
        <v>5</v>
      </c>
      <c r="D10" s="20">
        <v>6</v>
      </c>
      <c r="E10" s="20">
        <v>4</v>
      </c>
      <c r="F10" s="21">
        <v>6</v>
      </c>
    </row>
    <row r="11" spans="1:10" ht="13.5" thickBot="1" x14ac:dyDescent="0.25">
      <c r="A11" s="22" t="s">
        <v>239</v>
      </c>
      <c r="B11" s="52">
        <f>PRICE(DATE(93,1,1),DATE(93+B10,1,1),B9/B8,0.07,100,1,0)*B8/100</f>
        <v>1078.729481332492</v>
      </c>
      <c r="C11" s="52">
        <f>PRICE(DATE(93,1,1),DATE(93+C10,1,1),C9/C8,0.07,100,1,0)*C8/100</f>
        <v>1225.5108589771176</v>
      </c>
      <c r="D11" s="52">
        <f>PRICE(DATE(93,1,1),DATE(93+D10,1,1),D9/D8,0.07,100,1,0)*D8/100</f>
        <v>1381.3231727811283</v>
      </c>
      <c r="E11" s="52">
        <f>PRICE(DATE(93,1,1),DATE(93+E10,1,1),E9/E8,0.07,100,1,0)*E8/100</f>
        <v>1440.3374633403105</v>
      </c>
      <c r="F11" s="53">
        <f>PRICE(DATE(93,1,1),DATE(93+F10,1,1),F9/F8,0.07,100,1,0)*F8/100</f>
        <v>1023.8326982988204</v>
      </c>
    </row>
    <row r="12" spans="1:10" ht="3.75" customHeight="1" thickTop="1" thickBot="1" x14ac:dyDescent="0.25">
      <c r="A12" s="54"/>
      <c r="B12" s="24"/>
      <c r="C12" s="24"/>
      <c r="D12" s="24"/>
      <c r="E12" s="24"/>
      <c r="F12" s="25"/>
    </row>
    <row r="13" spans="1:10" ht="14.25" thickTop="1" thickBot="1" x14ac:dyDescent="0.25">
      <c r="A13" s="9"/>
      <c r="B13" s="55" t="s">
        <v>193</v>
      </c>
      <c r="C13" s="55" t="s">
        <v>194</v>
      </c>
      <c r="D13" s="55" t="s">
        <v>195</v>
      </c>
      <c r="E13" s="55" t="s">
        <v>196</v>
      </c>
      <c r="F13" s="12" t="s">
        <v>197</v>
      </c>
      <c r="H13" s="56" t="s">
        <v>240</v>
      </c>
    </row>
    <row r="14" spans="1:10" ht="14.25" thickTop="1" thickBot="1" x14ac:dyDescent="0.25">
      <c r="A14" s="38" t="s">
        <v>241</v>
      </c>
      <c r="B14" s="57">
        <v>10</v>
      </c>
      <c r="C14" s="58">
        <v>10</v>
      </c>
      <c r="D14" s="58">
        <v>10</v>
      </c>
      <c r="E14" s="58">
        <v>10</v>
      </c>
      <c r="F14" s="59">
        <v>10</v>
      </c>
      <c r="H14" s="60">
        <f>SUMPRODUCT(B14:F14,B11:F11)</f>
        <v>61497.336747298687</v>
      </c>
    </row>
    <row r="15" spans="1:10" ht="3.75" customHeight="1" thickTop="1" thickBot="1" x14ac:dyDescent="0.25"/>
    <row r="16" spans="1:10" ht="14.25" thickTop="1" thickBot="1" x14ac:dyDescent="0.25">
      <c r="A16" s="61" t="s">
        <v>242</v>
      </c>
      <c r="B16" s="55" t="s">
        <v>193</v>
      </c>
      <c r="C16" s="55" t="s">
        <v>194</v>
      </c>
      <c r="D16" s="55" t="s">
        <v>195</v>
      </c>
      <c r="E16" s="55" t="s">
        <v>196</v>
      </c>
      <c r="F16" s="55" t="s">
        <v>197</v>
      </c>
      <c r="G16" s="11"/>
      <c r="H16" s="10" t="s">
        <v>91</v>
      </c>
      <c r="I16" s="11"/>
      <c r="J16" s="62" t="s">
        <v>243</v>
      </c>
    </row>
    <row r="17" spans="1:10" ht="13.5" thickTop="1" x14ac:dyDescent="0.2">
      <c r="A17" s="13" t="s">
        <v>244</v>
      </c>
      <c r="B17" s="50">
        <f>B9*B14</f>
        <v>1000</v>
      </c>
      <c r="C17" s="50">
        <f>C9*C14</f>
        <v>1250</v>
      </c>
      <c r="D17" s="50">
        <f>D9*D14</f>
        <v>1500</v>
      </c>
      <c r="E17" s="50">
        <f>E9*E14</f>
        <v>2000</v>
      </c>
      <c r="F17" s="50">
        <f>F9*F14</f>
        <v>750</v>
      </c>
      <c r="G17" s="20"/>
      <c r="H17" s="50">
        <f t="shared" ref="H17:H22" si="0">SUM(B17:F17)</f>
        <v>6500</v>
      </c>
      <c r="I17" s="20"/>
      <c r="J17" s="63">
        <v>32000</v>
      </c>
    </row>
    <row r="18" spans="1:10" x14ac:dyDescent="0.2">
      <c r="A18" s="13" t="s">
        <v>245</v>
      </c>
      <c r="B18" s="50">
        <f>B9*B14</f>
        <v>1000</v>
      </c>
      <c r="C18" s="50">
        <f>C9*C14</f>
        <v>1250</v>
      </c>
      <c r="D18" s="50">
        <f>D9*D14</f>
        <v>1500</v>
      </c>
      <c r="E18" s="50">
        <f>E9*E14</f>
        <v>2000</v>
      </c>
      <c r="F18" s="50">
        <f>F9*F14</f>
        <v>750</v>
      </c>
      <c r="G18" s="20"/>
      <c r="H18" s="50">
        <f t="shared" si="0"/>
        <v>6500</v>
      </c>
      <c r="I18" s="20"/>
      <c r="J18" s="64">
        <v>25000</v>
      </c>
    </row>
    <row r="19" spans="1:10" x14ac:dyDescent="0.2">
      <c r="A19" s="13" t="s">
        <v>246</v>
      </c>
      <c r="B19" s="50">
        <f>B9*B14</f>
        <v>1000</v>
      </c>
      <c r="C19" s="50">
        <f>C9*C14</f>
        <v>1250</v>
      </c>
      <c r="D19" s="50">
        <f>D9*D14</f>
        <v>1500</v>
      </c>
      <c r="E19" s="50">
        <f>E9*E14</f>
        <v>2000</v>
      </c>
      <c r="F19" s="50">
        <f>F9*F14</f>
        <v>750</v>
      </c>
      <c r="G19" s="20"/>
      <c r="H19" s="50">
        <f t="shared" si="0"/>
        <v>6500</v>
      </c>
      <c r="I19" s="20"/>
      <c r="J19" s="64">
        <v>22000</v>
      </c>
    </row>
    <row r="20" spans="1:10" x14ac:dyDescent="0.2">
      <c r="A20" s="13" t="s">
        <v>247</v>
      </c>
      <c r="B20" s="20"/>
      <c r="C20" s="50">
        <f>C9*C14</f>
        <v>1250</v>
      </c>
      <c r="D20" s="50">
        <f>D9*D14</f>
        <v>1500</v>
      </c>
      <c r="E20" s="50">
        <f>E9*E14</f>
        <v>2000</v>
      </c>
      <c r="F20" s="50">
        <f>F9*F14</f>
        <v>750</v>
      </c>
      <c r="G20" s="20"/>
      <c r="H20" s="50">
        <f t="shared" si="0"/>
        <v>5500</v>
      </c>
      <c r="I20" s="20"/>
      <c r="J20" s="64">
        <v>28000</v>
      </c>
    </row>
    <row r="21" spans="1:10" x14ac:dyDescent="0.2">
      <c r="A21" s="13" t="s">
        <v>248</v>
      </c>
      <c r="B21" s="20"/>
      <c r="C21" s="50">
        <f>C9*C14</f>
        <v>1250</v>
      </c>
      <c r="D21" s="50">
        <f>D9*D14</f>
        <v>1500</v>
      </c>
      <c r="E21" s="20"/>
      <c r="F21" s="50">
        <f>F9*F14</f>
        <v>750</v>
      </c>
      <c r="G21" s="20"/>
      <c r="H21" s="50">
        <f t="shared" si="0"/>
        <v>3500</v>
      </c>
      <c r="I21" s="20"/>
      <c r="J21" s="64">
        <v>25000</v>
      </c>
    </row>
    <row r="22" spans="1:10" ht="13.5" thickBot="1" x14ac:dyDescent="0.25">
      <c r="A22" s="22" t="s">
        <v>249</v>
      </c>
      <c r="B22" s="24"/>
      <c r="C22" s="24"/>
      <c r="D22" s="65">
        <f>D9*D14</f>
        <v>1500</v>
      </c>
      <c r="E22" s="24"/>
      <c r="F22" s="65">
        <f>F9*F14</f>
        <v>750</v>
      </c>
      <c r="G22" s="24"/>
      <c r="H22" s="65">
        <f t="shared" si="0"/>
        <v>2250</v>
      </c>
      <c r="I22" s="24"/>
      <c r="J22" s="66">
        <v>20000</v>
      </c>
    </row>
    <row r="23" spans="1:10" ht="13.5" thickTop="1" x14ac:dyDescent="0.2">
      <c r="A23" s="67"/>
    </row>
    <row r="24" spans="1:10" ht="13.5" thickBot="1" x14ac:dyDescent="0.25">
      <c r="A24" s="67"/>
    </row>
    <row r="25" spans="1:10" ht="13.5" thickTop="1" x14ac:dyDescent="0.2">
      <c r="A25" s="174" t="s">
        <v>99</v>
      </c>
      <c r="B25" s="171"/>
      <c r="C25" s="171"/>
      <c r="D25" s="142"/>
      <c r="E25" s="142"/>
      <c r="F25" s="142"/>
      <c r="G25" s="142"/>
      <c r="H25" s="142"/>
      <c r="I25" s="142"/>
      <c r="J25" s="143"/>
    </row>
    <row r="26" spans="1:10" x14ac:dyDescent="0.2">
      <c r="A26" s="169" t="s">
        <v>250</v>
      </c>
      <c r="B26" s="172"/>
      <c r="C26" s="172"/>
      <c r="D26" s="145"/>
      <c r="E26" s="145"/>
      <c r="F26" s="145"/>
      <c r="G26" s="145"/>
      <c r="H26" s="145"/>
      <c r="I26" s="145"/>
      <c r="J26" s="146"/>
    </row>
    <row r="27" spans="1:10" x14ac:dyDescent="0.2">
      <c r="A27" s="169" t="s">
        <v>251</v>
      </c>
      <c r="B27" s="172"/>
      <c r="C27" s="172"/>
      <c r="D27" s="145"/>
      <c r="E27" s="145"/>
      <c r="F27" s="145"/>
      <c r="G27" s="145"/>
      <c r="H27" s="145"/>
      <c r="I27" s="145"/>
      <c r="J27" s="146"/>
    </row>
    <row r="28" spans="1:10" x14ac:dyDescent="0.2">
      <c r="A28" s="169" t="s">
        <v>252</v>
      </c>
      <c r="B28" s="172"/>
      <c r="C28" s="172"/>
      <c r="D28" s="145"/>
      <c r="E28" s="145"/>
      <c r="F28" s="145"/>
      <c r="G28" s="145"/>
      <c r="H28" s="145"/>
      <c r="I28" s="145"/>
      <c r="J28" s="146"/>
    </row>
    <row r="29" spans="1:10" x14ac:dyDescent="0.2">
      <c r="A29" s="169" t="s">
        <v>253</v>
      </c>
      <c r="B29" s="172"/>
      <c r="C29" s="172"/>
      <c r="D29" s="145"/>
      <c r="E29" s="145"/>
      <c r="F29" s="145"/>
      <c r="G29" s="145"/>
      <c r="H29" s="145"/>
      <c r="I29" s="145"/>
      <c r="J29" s="146"/>
    </row>
    <row r="30" spans="1:10" x14ac:dyDescent="0.2">
      <c r="A30" s="169" t="s">
        <v>254</v>
      </c>
      <c r="B30" s="172"/>
      <c r="C30" s="172"/>
      <c r="D30" s="145"/>
      <c r="E30" s="145"/>
      <c r="F30" s="145"/>
      <c r="G30" s="145"/>
      <c r="H30" s="145"/>
      <c r="I30" s="145"/>
      <c r="J30" s="146"/>
    </row>
    <row r="31" spans="1:10" x14ac:dyDescent="0.2">
      <c r="A31" s="169" t="s">
        <v>255</v>
      </c>
      <c r="B31" s="172"/>
      <c r="C31" s="172"/>
      <c r="D31" s="145"/>
      <c r="E31" s="145"/>
      <c r="F31" s="145"/>
      <c r="G31" s="145"/>
      <c r="H31" s="145"/>
      <c r="I31" s="145"/>
      <c r="J31" s="146"/>
    </row>
    <row r="32" spans="1:10" x14ac:dyDescent="0.2">
      <c r="A32" s="169"/>
      <c r="B32" s="172"/>
      <c r="C32" s="172"/>
      <c r="D32" s="145"/>
      <c r="E32" s="145"/>
      <c r="F32" s="145"/>
      <c r="G32" s="145"/>
      <c r="H32" s="145"/>
      <c r="I32" s="145"/>
      <c r="J32" s="146"/>
    </row>
    <row r="33" spans="1:10" x14ac:dyDescent="0.2">
      <c r="A33" s="175" t="s">
        <v>104</v>
      </c>
      <c r="B33" s="172"/>
      <c r="C33" s="172"/>
      <c r="D33" s="145"/>
      <c r="E33" s="145"/>
      <c r="F33" s="145"/>
      <c r="G33" s="145"/>
      <c r="H33" s="145"/>
      <c r="I33" s="145"/>
      <c r="J33" s="146"/>
    </row>
    <row r="34" spans="1:10" x14ac:dyDescent="0.2">
      <c r="A34" s="169" t="s">
        <v>256</v>
      </c>
      <c r="B34" s="172"/>
      <c r="C34" s="172"/>
      <c r="D34" s="145"/>
      <c r="E34" s="145"/>
      <c r="F34" s="145"/>
      <c r="G34" s="145"/>
      <c r="H34" s="145"/>
      <c r="I34" s="145"/>
      <c r="J34" s="146"/>
    </row>
    <row r="35" spans="1:10" x14ac:dyDescent="0.2">
      <c r="A35" s="169" t="s">
        <v>257</v>
      </c>
      <c r="B35" s="172"/>
      <c r="C35" s="172"/>
      <c r="D35" s="145"/>
      <c r="E35" s="145"/>
      <c r="F35" s="145"/>
      <c r="G35" s="145"/>
      <c r="H35" s="145"/>
      <c r="I35" s="145"/>
      <c r="J35" s="146"/>
    </row>
    <row r="36" spans="1:10" x14ac:dyDescent="0.2">
      <c r="A36" s="169" t="s">
        <v>212</v>
      </c>
      <c r="B36" s="172"/>
      <c r="C36" s="172"/>
      <c r="D36" s="145"/>
      <c r="E36" s="145"/>
      <c r="F36" s="145"/>
      <c r="G36" s="145"/>
      <c r="H36" s="145"/>
      <c r="I36" s="145"/>
      <c r="J36" s="146"/>
    </row>
    <row r="37" spans="1:10" x14ac:dyDescent="0.2">
      <c r="A37" s="169"/>
      <c r="B37" s="172" t="s">
        <v>258</v>
      </c>
      <c r="C37" s="172"/>
      <c r="D37" s="145"/>
      <c r="E37" s="145"/>
      <c r="F37" s="145"/>
      <c r="G37" s="145"/>
      <c r="H37" s="145"/>
      <c r="I37" s="145"/>
      <c r="J37" s="146"/>
    </row>
    <row r="38" spans="1:10" x14ac:dyDescent="0.2">
      <c r="A38" s="169"/>
      <c r="B38" s="172" t="s">
        <v>259</v>
      </c>
      <c r="C38" s="172"/>
      <c r="D38" s="145"/>
      <c r="E38" s="145"/>
      <c r="F38" s="145"/>
      <c r="G38" s="145"/>
      <c r="H38" s="145"/>
      <c r="I38" s="145"/>
      <c r="J38" s="146"/>
    </row>
    <row r="39" spans="1:10" x14ac:dyDescent="0.2">
      <c r="A39" s="169" t="s">
        <v>260</v>
      </c>
      <c r="B39" s="172"/>
      <c r="C39" s="172"/>
      <c r="D39" s="145"/>
      <c r="E39" s="145"/>
      <c r="F39" s="145"/>
      <c r="G39" s="145"/>
      <c r="H39" s="145"/>
      <c r="I39" s="145"/>
      <c r="J39" s="146"/>
    </row>
    <row r="40" spans="1:10" x14ac:dyDescent="0.2">
      <c r="A40" s="169"/>
      <c r="B40" s="172" t="s">
        <v>261</v>
      </c>
      <c r="C40" s="172"/>
      <c r="D40" s="145"/>
      <c r="E40" s="145"/>
      <c r="F40" s="145"/>
      <c r="G40" s="145"/>
      <c r="H40" s="145"/>
      <c r="I40" s="145"/>
      <c r="J40" s="146"/>
    </row>
    <row r="41" spans="1:10" x14ac:dyDescent="0.2">
      <c r="A41" s="169" t="s">
        <v>262</v>
      </c>
      <c r="B41" s="172"/>
      <c r="C41" s="172"/>
      <c r="D41" s="145"/>
      <c r="E41" s="145"/>
      <c r="F41" s="145"/>
      <c r="G41" s="145"/>
      <c r="H41" s="145"/>
      <c r="I41" s="145"/>
      <c r="J41" s="146"/>
    </row>
    <row r="42" spans="1:10" x14ac:dyDescent="0.2">
      <c r="A42" s="169"/>
      <c r="B42" s="172"/>
      <c r="C42" s="172"/>
      <c r="D42" s="145"/>
      <c r="E42" s="145"/>
      <c r="F42" s="145"/>
      <c r="G42" s="145"/>
      <c r="H42" s="145"/>
      <c r="I42" s="145"/>
      <c r="J42" s="146"/>
    </row>
    <row r="43" spans="1:10" x14ac:dyDescent="0.2">
      <c r="A43" s="175" t="s">
        <v>116</v>
      </c>
      <c r="B43" s="172"/>
      <c r="C43" s="172"/>
      <c r="D43" s="145"/>
      <c r="E43" s="145"/>
      <c r="F43" s="145"/>
      <c r="G43" s="145"/>
      <c r="H43" s="145"/>
      <c r="I43" s="145"/>
      <c r="J43" s="146"/>
    </row>
    <row r="44" spans="1:10" x14ac:dyDescent="0.2">
      <c r="A44" s="169" t="s">
        <v>263</v>
      </c>
      <c r="B44" s="172"/>
      <c r="C44" s="172"/>
      <c r="D44" s="145"/>
      <c r="E44" s="145"/>
      <c r="F44" s="145"/>
      <c r="G44" s="145"/>
      <c r="H44" s="145"/>
      <c r="I44" s="145"/>
      <c r="J44" s="146"/>
    </row>
    <row r="45" spans="1:10" x14ac:dyDescent="0.2">
      <c r="A45" s="169" t="s">
        <v>264</v>
      </c>
      <c r="B45" s="172"/>
      <c r="C45" s="172"/>
      <c r="D45" s="145"/>
      <c r="E45" s="145"/>
      <c r="F45" s="145"/>
      <c r="G45" s="145"/>
      <c r="H45" s="145"/>
      <c r="I45" s="145"/>
      <c r="J45" s="146"/>
    </row>
    <row r="46" spans="1:10" ht="13.5" thickBot="1" x14ac:dyDescent="0.25">
      <c r="A46" s="170" t="s">
        <v>265</v>
      </c>
      <c r="B46" s="173"/>
      <c r="C46" s="173"/>
      <c r="D46" s="148"/>
      <c r="E46" s="148"/>
      <c r="F46" s="148"/>
      <c r="G46" s="148"/>
      <c r="H46" s="148"/>
      <c r="I46" s="148"/>
      <c r="J46" s="149"/>
    </row>
    <row r="47" spans="1:10" ht="13.5" thickTop="1" x14ac:dyDescent="0.2"/>
  </sheetData>
  <printOptions gridLinesSet="0"/>
  <pageMargins left="0.75" right="0.75" top="1" bottom="1" header="0.5" footer="0.5"/>
  <pageSetup orientation="portrait" horizontalDpi="4294967292" verticalDpi="4294967292" copies="0"/>
  <headerFooter alignWithMargins="0">
    <oddHeader>&amp;F</oddHeader>
    <oddFooter>Page &amp;P</oddFooter>
  </headerFooter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J48"/>
  <sheetViews>
    <sheetView showGridLines="0" workbookViewId="0"/>
  </sheetViews>
  <sheetFormatPr defaultRowHeight="12.75" x14ac:dyDescent="0.2"/>
  <cols>
    <col min="1" max="1" width="16.28515625" customWidth="1"/>
    <col min="2" max="2" width="11.140625" customWidth="1"/>
    <col min="3" max="3" width="10.42578125" customWidth="1"/>
    <col min="4" max="4" width="10.7109375" customWidth="1"/>
    <col min="5" max="5" width="11.7109375" customWidth="1"/>
    <col min="6" max="6" width="9.7109375" customWidth="1"/>
    <col min="7" max="7" width="0.5703125" customWidth="1"/>
    <col min="9" max="9" width="0.5703125" customWidth="1"/>
  </cols>
  <sheetData>
    <row r="1" spans="1:10" ht="13.5" thickBot="1" x14ac:dyDescent="0.25">
      <c r="A1" s="68" t="s">
        <v>266</v>
      </c>
    </row>
    <row r="2" spans="1:10" ht="13.5" thickTop="1" x14ac:dyDescent="0.2">
      <c r="A2" s="2" t="s">
        <v>234</v>
      </c>
      <c r="B2" s="39"/>
      <c r="C2" s="39"/>
      <c r="D2" s="39"/>
      <c r="E2" s="39"/>
      <c r="F2" s="4"/>
    </row>
    <row r="3" spans="1:10" x14ac:dyDescent="0.2">
      <c r="A3" s="32" t="s">
        <v>235</v>
      </c>
      <c r="B3" s="40"/>
      <c r="C3" s="40"/>
      <c r="D3" s="40"/>
      <c r="E3" s="40"/>
      <c r="F3" s="34"/>
    </row>
    <row r="4" spans="1:10" ht="13.5" thickBot="1" x14ac:dyDescent="0.25">
      <c r="A4" s="41" t="s">
        <v>236</v>
      </c>
      <c r="B4" s="42">
        <v>7.0000000000000007E-2</v>
      </c>
      <c r="C4" s="43"/>
      <c r="D4" s="43"/>
      <c r="E4" s="43"/>
      <c r="F4" s="7"/>
    </row>
    <row r="5" spans="1:10" ht="4.5" customHeight="1" thickTop="1" thickBot="1" x14ac:dyDescent="0.25">
      <c r="A5" s="44"/>
      <c r="B5" s="45"/>
    </row>
    <row r="6" spans="1:10" ht="13.5" thickTop="1" x14ac:dyDescent="0.2">
      <c r="A6" s="46" t="s">
        <v>237</v>
      </c>
      <c r="B6" s="10"/>
      <c r="C6" s="10"/>
      <c r="D6" s="10"/>
      <c r="E6" s="10"/>
      <c r="F6" s="47"/>
    </row>
    <row r="7" spans="1:10" x14ac:dyDescent="0.2">
      <c r="A7" s="13"/>
      <c r="B7" s="48" t="s">
        <v>193</v>
      </c>
      <c r="C7" s="48" t="s">
        <v>194</v>
      </c>
      <c r="D7" s="48" t="s">
        <v>195</v>
      </c>
      <c r="E7" s="48" t="s">
        <v>196</v>
      </c>
      <c r="F7" s="49" t="s">
        <v>197</v>
      </c>
    </row>
    <row r="8" spans="1:10" x14ac:dyDescent="0.2">
      <c r="A8" s="13" t="s">
        <v>223</v>
      </c>
      <c r="B8" s="50">
        <v>1000</v>
      </c>
      <c r="C8" s="50">
        <v>1000</v>
      </c>
      <c r="D8" s="50">
        <v>1000</v>
      </c>
      <c r="E8" s="50">
        <v>1000</v>
      </c>
      <c r="F8" s="51">
        <v>1000</v>
      </c>
    </row>
    <row r="9" spans="1:10" x14ac:dyDescent="0.2">
      <c r="A9" s="13" t="s">
        <v>222</v>
      </c>
      <c r="B9" s="50">
        <v>100</v>
      </c>
      <c r="C9" s="50">
        <v>125</v>
      </c>
      <c r="D9" s="50">
        <v>150</v>
      </c>
      <c r="E9" s="50">
        <v>175</v>
      </c>
      <c r="F9" s="51">
        <v>75</v>
      </c>
    </row>
    <row r="10" spans="1:10" x14ac:dyDescent="0.2">
      <c r="A10" s="13" t="s">
        <v>238</v>
      </c>
      <c r="B10" s="20">
        <v>3</v>
      </c>
      <c r="C10" s="20">
        <v>5</v>
      </c>
      <c r="D10" s="20">
        <v>6</v>
      </c>
      <c r="E10" s="20">
        <v>4</v>
      </c>
      <c r="F10" s="21">
        <v>6</v>
      </c>
    </row>
    <row r="11" spans="1:10" ht="13.5" thickBot="1" x14ac:dyDescent="0.25">
      <c r="A11" s="22" t="s">
        <v>239</v>
      </c>
      <c r="B11" s="52">
        <f>PRICE(DATE(93,1,1),DATE(93+B10,1,1),B9/B8,0.07,100,1,0)*B8/100</f>
        <v>1078.729481332492</v>
      </c>
      <c r="C11" s="52">
        <f>PRICE(DATE(93,1,1),DATE(93+C10,1,1),C9/C8,0.07,100,1,0)*C8/100</f>
        <v>1225.5108589771176</v>
      </c>
      <c r="D11" s="52">
        <f>PRICE(DATE(93,1,1),DATE(93+D10,1,1),D9/D8,0.07,100,1,0)*D8/100</f>
        <v>1381.3231727811283</v>
      </c>
      <c r="E11" s="52">
        <f>PRICE(DATE(93,1,1),DATE(93+E10,1,1),E9/E8,0.07,100,1,0)*E8/100</f>
        <v>1355.6571819287119</v>
      </c>
      <c r="F11" s="52">
        <f>PRICE(DATE(93,1,1),DATE(93+F10,1,1),F9/F8,0.07,100,1,0)*F8/100</f>
        <v>1023.8326982988204</v>
      </c>
    </row>
    <row r="12" spans="1:10" ht="3.75" customHeight="1" thickTop="1" thickBot="1" x14ac:dyDescent="0.25">
      <c r="A12" s="54"/>
      <c r="B12" s="24"/>
      <c r="C12" s="24"/>
      <c r="D12" s="24"/>
      <c r="E12" s="24"/>
      <c r="F12" s="25"/>
    </row>
    <row r="13" spans="1:10" ht="14.25" thickTop="1" thickBot="1" x14ac:dyDescent="0.25">
      <c r="A13" s="9"/>
      <c r="B13" s="55" t="s">
        <v>193</v>
      </c>
      <c r="C13" s="55" t="s">
        <v>194</v>
      </c>
      <c r="D13" s="55" t="s">
        <v>195</v>
      </c>
      <c r="E13" s="55" t="s">
        <v>196</v>
      </c>
      <c r="F13" s="12" t="s">
        <v>197</v>
      </c>
      <c r="H13" s="56" t="s">
        <v>240</v>
      </c>
    </row>
    <row r="14" spans="1:10" ht="14.25" thickTop="1" thickBot="1" x14ac:dyDescent="0.25">
      <c r="A14" s="38" t="s">
        <v>241</v>
      </c>
      <c r="B14" s="57">
        <v>50</v>
      </c>
      <c r="C14" s="58">
        <v>50</v>
      </c>
      <c r="D14" s="58">
        <v>50</v>
      </c>
      <c r="E14" s="58">
        <v>50</v>
      </c>
      <c r="F14" s="59">
        <v>50</v>
      </c>
      <c r="H14" s="60">
        <f>SUMPRODUCT(B14:F14,B11:F11)</f>
        <v>303252.66966591351</v>
      </c>
    </row>
    <row r="15" spans="1:10" ht="3.75" customHeight="1" thickTop="1" thickBot="1" x14ac:dyDescent="0.25"/>
    <row r="16" spans="1:10" ht="14.25" thickTop="1" thickBot="1" x14ac:dyDescent="0.25">
      <c r="A16" s="61" t="s">
        <v>242</v>
      </c>
      <c r="B16" s="55" t="s">
        <v>193</v>
      </c>
      <c r="C16" s="55" t="s">
        <v>194</v>
      </c>
      <c r="D16" s="55" t="s">
        <v>195</v>
      </c>
      <c r="E16" s="55" t="s">
        <v>196</v>
      </c>
      <c r="F16" s="55" t="s">
        <v>197</v>
      </c>
      <c r="G16" s="11"/>
      <c r="H16" s="69" t="s">
        <v>267</v>
      </c>
      <c r="I16" s="11"/>
      <c r="J16" s="70" t="s">
        <v>243</v>
      </c>
    </row>
    <row r="17" spans="1:10" ht="13.5" thickTop="1" x14ac:dyDescent="0.2">
      <c r="A17" s="13" t="s">
        <v>244</v>
      </c>
      <c r="B17" s="50">
        <f>B9*B14</f>
        <v>5000</v>
      </c>
      <c r="C17" s="50">
        <f>C9*C14</f>
        <v>6250</v>
      </c>
      <c r="D17" s="50">
        <f>D9*D14</f>
        <v>7500</v>
      </c>
      <c r="E17" s="50">
        <f>E9*E14</f>
        <v>8750</v>
      </c>
      <c r="F17" s="50">
        <f>F9*F14</f>
        <v>3750</v>
      </c>
      <c r="G17" s="20"/>
      <c r="H17" s="50">
        <f>SUM(B17:F17)</f>
        <v>31250</v>
      </c>
      <c r="I17" s="20"/>
      <c r="J17" s="63">
        <v>32000</v>
      </c>
    </row>
    <row r="18" spans="1:10" x14ac:dyDescent="0.2">
      <c r="A18" s="13" t="s">
        <v>245</v>
      </c>
      <c r="B18" s="50">
        <f>B9*B14</f>
        <v>5000</v>
      </c>
      <c r="C18" s="50">
        <f>C9*C14</f>
        <v>6250</v>
      </c>
      <c r="D18" s="50">
        <f>D9*D14</f>
        <v>7500</v>
      </c>
      <c r="E18" s="50">
        <f>E9*E14</f>
        <v>8750</v>
      </c>
      <c r="F18" s="50">
        <f>F9*F14</f>
        <v>3750</v>
      </c>
      <c r="G18" s="20"/>
      <c r="H18" s="50">
        <f>SUM(B18:F18)+(H17-J17)*(1+$B$4)</f>
        <v>30447.5</v>
      </c>
      <c r="I18" s="20"/>
      <c r="J18" s="64">
        <v>25000</v>
      </c>
    </row>
    <row r="19" spans="1:10" x14ac:dyDescent="0.2">
      <c r="A19" s="13" t="s">
        <v>246</v>
      </c>
      <c r="B19" s="50">
        <f>B9*B14</f>
        <v>5000</v>
      </c>
      <c r="C19" s="50">
        <f>C9*C14</f>
        <v>6250</v>
      </c>
      <c r="D19" s="50">
        <f>D9*D14</f>
        <v>7500</v>
      </c>
      <c r="E19" s="50">
        <f>E9*E14</f>
        <v>8750</v>
      </c>
      <c r="F19" s="50">
        <f>F9*F14</f>
        <v>3750</v>
      </c>
      <c r="G19" s="20"/>
      <c r="H19" s="50">
        <f>SUM(B19:F19)+(H18-J18)*(1+$B$4)</f>
        <v>37078.824999999997</v>
      </c>
      <c r="I19" s="20"/>
      <c r="J19" s="64">
        <v>22000</v>
      </c>
    </row>
    <row r="20" spans="1:10" x14ac:dyDescent="0.2">
      <c r="A20" s="13" t="s">
        <v>247</v>
      </c>
      <c r="B20" s="20"/>
      <c r="C20" s="50">
        <f>C9*C14</f>
        <v>6250</v>
      </c>
      <c r="D20" s="50">
        <f>D9*D14</f>
        <v>7500</v>
      </c>
      <c r="E20" s="50">
        <f>E9*E14</f>
        <v>8750</v>
      </c>
      <c r="F20" s="50">
        <f>F9*F14</f>
        <v>3750</v>
      </c>
      <c r="G20" s="20"/>
      <c r="H20" s="50">
        <f>SUM(B20:F20)+(H19-J19)*(1+$B$4)</f>
        <v>42384.342749999996</v>
      </c>
      <c r="I20" s="20"/>
      <c r="J20" s="64">
        <v>28000</v>
      </c>
    </row>
    <row r="21" spans="1:10" x14ac:dyDescent="0.2">
      <c r="A21" s="13" t="s">
        <v>248</v>
      </c>
      <c r="B21" s="20"/>
      <c r="C21" s="50">
        <f>C9*C14</f>
        <v>6250</v>
      </c>
      <c r="D21" s="50">
        <f>D9*D14</f>
        <v>7500</v>
      </c>
      <c r="E21" s="20"/>
      <c r="F21" s="50">
        <f>F9*F14</f>
        <v>3750</v>
      </c>
      <c r="G21" s="20"/>
      <c r="H21" s="50">
        <f>SUM(B21:F21)+(H20-J20)*(1+$B$4)</f>
        <v>32891.246742499992</v>
      </c>
      <c r="I21" s="20"/>
      <c r="J21" s="64">
        <v>25000</v>
      </c>
    </row>
    <row r="22" spans="1:10" ht="13.5" thickBot="1" x14ac:dyDescent="0.25">
      <c r="A22" s="22" t="s">
        <v>249</v>
      </c>
      <c r="B22" s="24"/>
      <c r="C22" s="24"/>
      <c r="D22" s="65">
        <f>D9*D14</f>
        <v>7500</v>
      </c>
      <c r="E22" s="24"/>
      <c r="F22" s="65">
        <f>F9*F14</f>
        <v>3750</v>
      </c>
      <c r="G22" s="24"/>
      <c r="H22" s="65">
        <f>SUM(B22:F22)+(H21-J21)*(1+$B$4)</f>
        <v>19693.634014474992</v>
      </c>
      <c r="I22" s="24"/>
      <c r="J22" s="66">
        <v>20000</v>
      </c>
    </row>
    <row r="23" spans="1:10" ht="13.5" thickTop="1" x14ac:dyDescent="0.2">
      <c r="A23" s="67"/>
    </row>
    <row r="24" spans="1:10" ht="13.5" thickBot="1" x14ac:dyDescent="0.25">
      <c r="A24" s="67"/>
    </row>
    <row r="25" spans="1:10" ht="13.5" thickTop="1" x14ac:dyDescent="0.2">
      <c r="A25" s="174" t="s">
        <v>99</v>
      </c>
      <c r="B25" s="171"/>
      <c r="C25" s="171"/>
      <c r="D25" s="142"/>
      <c r="E25" s="142"/>
      <c r="F25" s="142"/>
      <c r="G25" s="142"/>
      <c r="H25" s="142"/>
      <c r="I25" s="142"/>
      <c r="J25" s="143"/>
    </row>
    <row r="26" spans="1:10" x14ac:dyDescent="0.2">
      <c r="A26" s="169" t="s">
        <v>268</v>
      </c>
      <c r="B26" s="172"/>
      <c r="C26" s="172"/>
      <c r="D26" s="145"/>
      <c r="E26" s="145"/>
      <c r="F26" s="145"/>
      <c r="G26" s="145"/>
      <c r="H26" s="145"/>
      <c r="I26" s="145"/>
      <c r="J26" s="146"/>
    </row>
    <row r="27" spans="1:10" x14ac:dyDescent="0.2">
      <c r="A27" s="169" t="s">
        <v>269</v>
      </c>
      <c r="B27" s="172"/>
      <c r="C27" s="172"/>
      <c r="D27" s="145"/>
      <c r="E27" s="145"/>
      <c r="F27" s="145"/>
      <c r="G27" s="145"/>
      <c r="H27" s="145"/>
      <c r="I27" s="145"/>
      <c r="J27" s="146"/>
    </row>
    <row r="28" spans="1:10" x14ac:dyDescent="0.2">
      <c r="A28" s="169" t="s">
        <v>270</v>
      </c>
      <c r="B28" s="172"/>
      <c r="C28" s="172"/>
      <c r="D28" s="145"/>
      <c r="E28" s="145"/>
      <c r="F28" s="145"/>
      <c r="G28" s="145"/>
      <c r="H28" s="145"/>
      <c r="I28" s="145"/>
      <c r="J28" s="146"/>
    </row>
    <row r="29" spans="1:10" x14ac:dyDescent="0.2">
      <c r="A29" s="169" t="s">
        <v>271</v>
      </c>
      <c r="B29" s="172"/>
      <c r="C29" s="172"/>
      <c r="D29" s="145"/>
      <c r="E29" s="145"/>
      <c r="F29" s="145"/>
      <c r="G29" s="145"/>
      <c r="H29" s="145"/>
      <c r="I29" s="145"/>
      <c r="J29" s="146"/>
    </row>
    <row r="30" spans="1:10" x14ac:dyDescent="0.2">
      <c r="A30" s="169" t="s">
        <v>272</v>
      </c>
      <c r="B30" s="172"/>
      <c r="C30" s="172"/>
      <c r="D30" s="145"/>
      <c r="E30" s="145"/>
      <c r="F30" s="145"/>
      <c r="G30" s="145"/>
      <c r="H30" s="145"/>
      <c r="I30" s="145"/>
      <c r="J30" s="146"/>
    </row>
    <row r="31" spans="1:10" x14ac:dyDescent="0.2">
      <c r="A31" s="169"/>
      <c r="B31" s="172"/>
      <c r="C31" s="172"/>
      <c r="D31" s="145"/>
      <c r="E31" s="145"/>
      <c r="F31" s="145"/>
      <c r="G31" s="145"/>
      <c r="H31" s="145"/>
      <c r="I31" s="145"/>
      <c r="J31" s="146"/>
    </row>
    <row r="32" spans="1:10" x14ac:dyDescent="0.2">
      <c r="A32" s="175" t="s">
        <v>104</v>
      </c>
      <c r="B32" s="172"/>
      <c r="C32" s="172"/>
      <c r="D32" s="145"/>
      <c r="E32" s="145"/>
      <c r="F32" s="145"/>
      <c r="G32" s="145"/>
      <c r="H32" s="145"/>
      <c r="I32" s="145"/>
      <c r="J32" s="146"/>
    </row>
    <row r="33" spans="1:10" x14ac:dyDescent="0.2">
      <c r="A33" s="169" t="s">
        <v>256</v>
      </c>
      <c r="B33" s="172"/>
      <c r="C33" s="172"/>
      <c r="D33" s="145"/>
      <c r="E33" s="145"/>
      <c r="F33" s="145"/>
      <c r="G33" s="145"/>
      <c r="H33" s="145"/>
      <c r="I33" s="145"/>
      <c r="J33" s="146"/>
    </row>
    <row r="34" spans="1:10" x14ac:dyDescent="0.2">
      <c r="A34" s="169" t="s">
        <v>257</v>
      </c>
      <c r="B34" s="172"/>
      <c r="C34" s="172"/>
      <c r="D34" s="145"/>
      <c r="E34" s="145"/>
      <c r="F34" s="145"/>
      <c r="G34" s="145"/>
      <c r="H34" s="145"/>
      <c r="I34" s="145"/>
      <c r="J34" s="146"/>
    </row>
    <row r="35" spans="1:10" x14ac:dyDescent="0.2">
      <c r="A35" s="169" t="s">
        <v>212</v>
      </c>
      <c r="B35" s="172"/>
      <c r="C35" s="172"/>
      <c r="D35" s="145"/>
      <c r="E35" s="145"/>
      <c r="F35" s="145"/>
      <c r="G35" s="145"/>
      <c r="H35" s="145"/>
      <c r="I35" s="145"/>
      <c r="J35" s="146"/>
    </row>
    <row r="36" spans="1:10" x14ac:dyDescent="0.2">
      <c r="A36" s="169"/>
      <c r="B36" s="172" t="s">
        <v>258</v>
      </c>
      <c r="C36" s="172"/>
      <c r="D36" s="145"/>
      <c r="E36" s="145"/>
      <c r="F36" s="145"/>
      <c r="G36" s="145"/>
      <c r="H36" s="145"/>
      <c r="I36" s="145"/>
      <c r="J36" s="146"/>
    </row>
    <row r="37" spans="1:10" x14ac:dyDescent="0.2">
      <c r="A37" s="169"/>
      <c r="B37" s="172" t="s">
        <v>259</v>
      </c>
      <c r="C37" s="172"/>
      <c r="D37" s="145"/>
      <c r="E37" s="145"/>
      <c r="F37" s="145"/>
      <c r="G37" s="145"/>
      <c r="H37" s="145"/>
      <c r="I37" s="145"/>
      <c r="J37" s="146"/>
    </row>
    <row r="38" spans="1:10" x14ac:dyDescent="0.2">
      <c r="A38" s="169" t="s">
        <v>260</v>
      </c>
      <c r="B38" s="172"/>
      <c r="C38" s="172"/>
      <c r="D38" s="145"/>
      <c r="E38" s="145"/>
      <c r="F38" s="145"/>
      <c r="G38" s="145"/>
      <c r="H38" s="145"/>
      <c r="I38" s="145"/>
      <c r="J38" s="146"/>
    </row>
    <row r="39" spans="1:10" x14ac:dyDescent="0.2">
      <c r="A39" s="169"/>
      <c r="B39" s="172" t="s">
        <v>261</v>
      </c>
      <c r="C39" s="172"/>
      <c r="D39" s="145"/>
      <c r="E39" s="145"/>
      <c r="F39" s="145"/>
      <c r="G39" s="145"/>
      <c r="H39" s="145"/>
      <c r="I39" s="145"/>
      <c r="J39" s="146"/>
    </row>
    <row r="40" spans="1:10" x14ac:dyDescent="0.2">
      <c r="A40" s="169" t="s">
        <v>262</v>
      </c>
      <c r="B40" s="172"/>
      <c r="C40" s="172"/>
      <c r="D40" s="145"/>
      <c r="E40" s="145"/>
      <c r="F40" s="145"/>
      <c r="G40" s="145"/>
      <c r="H40" s="145"/>
      <c r="I40" s="145"/>
      <c r="J40" s="146"/>
    </row>
    <row r="41" spans="1:10" x14ac:dyDescent="0.2">
      <c r="A41" s="169"/>
      <c r="B41" s="172"/>
      <c r="C41" s="172"/>
      <c r="D41" s="145"/>
      <c r="E41" s="145"/>
      <c r="F41" s="145"/>
      <c r="G41" s="145"/>
      <c r="H41" s="145"/>
      <c r="I41" s="145"/>
      <c r="J41" s="146"/>
    </row>
    <row r="42" spans="1:10" x14ac:dyDescent="0.2">
      <c r="A42" s="175" t="s">
        <v>116</v>
      </c>
      <c r="B42" s="172"/>
      <c r="C42" s="172"/>
      <c r="D42" s="145"/>
      <c r="E42" s="145"/>
      <c r="F42" s="145"/>
      <c r="G42" s="145"/>
      <c r="H42" s="145"/>
      <c r="I42" s="145"/>
      <c r="J42" s="146"/>
    </row>
    <row r="43" spans="1:10" x14ac:dyDescent="0.2">
      <c r="A43" s="169" t="s">
        <v>273</v>
      </c>
      <c r="B43" s="172"/>
      <c r="C43" s="172"/>
      <c r="D43" s="145"/>
      <c r="E43" s="145"/>
      <c r="F43" s="145"/>
      <c r="G43" s="145"/>
      <c r="H43" s="145"/>
      <c r="I43" s="145"/>
      <c r="J43" s="146"/>
    </row>
    <row r="44" spans="1:10" x14ac:dyDescent="0.2">
      <c r="A44" s="169" t="s">
        <v>274</v>
      </c>
      <c r="B44" s="172"/>
      <c r="C44" s="172"/>
      <c r="D44" s="145"/>
      <c r="E44" s="145"/>
      <c r="F44" s="145"/>
      <c r="G44" s="145"/>
      <c r="H44" s="145"/>
      <c r="I44" s="145"/>
      <c r="J44" s="146"/>
    </row>
    <row r="45" spans="1:10" x14ac:dyDescent="0.2">
      <c r="A45" s="169" t="s">
        <v>275</v>
      </c>
      <c r="B45" s="172"/>
      <c r="C45" s="172"/>
      <c r="D45" s="145"/>
      <c r="E45" s="145"/>
      <c r="F45" s="145"/>
      <c r="G45" s="145"/>
      <c r="H45" s="145"/>
      <c r="I45" s="145"/>
      <c r="J45" s="146"/>
    </row>
    <row r="46" spans="1:10" x14ac:dyDescent="0.2">
      <c r="A46" s="169" t="s">
        <v>276</v>
      </c>
      <c r="B46" s="172"/>
      <c r="C46" s="172"/>
      <c r="D46" s="145"/>
      <c r="E46" s="145"/>
      <c r="F46" s="145"/>
      <c r="G46" s="145"/>
      <c r="H46" s="145"/>
      <c r="I46" s="145"/>
      <c r="J46" s="146"/>
    </row>
    <row r="47" spans="1:10" ht="13.5" thickBot="1" x14ac:dyDescent="0.25">
      <c r="A47" s="170" t="s">
        <v>277</v>
      </c>
      <c r="B47" s="173"/>
      <c r="C47" s="173"/>
      <c r="D47" s="148"/>
      <c r="E47" s="148"/>
      <c r="F47" s="148"/>
      <c r="G47" s="148"/>
      <c r="H47" s="148"/>
      <c r="I47" s="148"/>
      <c r="J47" s="149"/>
    </row>
    <row r="48" spans="1:10" ht="13.5" thickTop="1" x14ac:dyDescent="0.2"/>
  </sheetData>
  <printOptions gridLinesSet="0"/>
  <pageMargins left="0.75" right="0.75" top="1" bottom="1" header="0.5" footer="0.5"/>
  <pageSetup orientation="portrait" horizontalDpi="4294967292" verticalDpi="4294967292" copies="0"/>
  <headerFooter alignWithMargins="0">
    <oddHeader>&amp;F</oddHeader>
    <oddFooter>Page &amp;P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33</vt:i4>
      </vt:variant>
    </vt:vector>
  </HeadingPairs>
  <TitlesOfParts>
    <vt:vector size="43" baseType="lpstr">
      <vt:lpstr>Summary</vt:lpstr>
      <vt:lpstr>Theory</vt:lpstr>
      <vt:lpstr>Markowitz</vt:lpstr>
      <vt:lpstr>Full Markowitz</vt:lpstr>
      <vt:lpstr>Efficient Frontier</vt:lpstr>
      <vt:lpstr>Sharpe</vt:lpstr>
      <vt:lpstr>Bond1</vt:lpstr>
      <vt:lpstr>Bond2</vt:lpstr>
      <vt:lpstr>Bond3</vt:lpstr>
      <vt:lpstr>Bond4</vt:lpstr>
      <vt:lpstr>Allocations</vt:lpstr>
      <vt:lpstr>Bond4!Cash_flow</vt:lpstr>
      <vt:lpstr>Cash_flow</vt:lpstr>
      <vt:lpstr>Desired</vt:lpstr>
      <vt:lpstr>Bond4!Liabilities</vt:lpstr>
      <vt:lpstr>Liabilities</vt:lpstr>
      <vt:lpstr>Bond2!Portfolio_duration</vt:lpstr>
      <vt:lpstr>Portfolio_duration</vt:lpstr>
      <vt:lpstr>Bond2!Portfolio_fractions</vt:lpstr>
      <vt:lpstr>'Efficient Frontier'!Portfolio_fractions</vt:lpstr>
      <vt:lpstr>Sharpe!Portfolio_fractions</vt:lpstr>
      <vt:lpstr>Portfolio_fractions</vt:lpstr>
      <vt:lpstr>Portfolio_Return</vt:lpstr>
      <vt:lpstr>Bond2!Portfolio_total</vt:lpstr>
      <vt:lpstr>'Efficient Frontier'!Portfolio_total</vt:lpstr>
      <vt:lpstr>Sharpe!Portfolio_total</vt:lpstr>
      <vt:lpstr>Portfolio_total</vt:lpstr>
      <vt:lpstr>Portfolio_Variance</vt:lpstr>
      <vt:lpstr>Bond2!Portfolio_yield</vt:lpstr>
      <vt:lpstr>Portfolio_yield</vt:lpstr>
      <vt:lpstr>Bond4!Purchased_bonds</vt:lpstr>
      <vt:lpstr>Purchased_bonds</vt:lpstr>
      <vt:lpstr>'Efficient Frontier'!Return</vt:lpstr>
      <vt:lpstr>Return</vt:lpstr>
      <vt:lpstr>Stock_Covariances</vt:lpstr>
      <vt:lpstr>Stock_Returns</vt:lpstr>
      <vt:lpstr>Bond2!Time_horizon</vt:lpstr>
      <vt:lpstr>Time_horizon</vt:lpstr>
      <vt:lpstr>Bond4!Total_cost</vt:lpstr>
      <vt:lpstr>Total_cost</vt:lpstr>
      <vt:lpstr>Total_Portfolio</vt:lpstr>
      <vt:lpstr>'Efficient Frontier'!Variance</vt:lpstr>
      <vt:lpstr>Variance</vt:lpstr>
    </vt:vector>
  </TitlesOfParts>
  <Company>Frontline Systems, Inc.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Edwin Straver</dc:creator>
  <cp:lastModifiedBy>Daniel H. Fylstra</cp:lastModifiedBy>
  <dcterms:created xsi:type="dcterms:W3CDTF">1999-05-07T20:59:20Z</dcterms:created>
  <dcterms:modified xsi:type="dcterms:W3CDTF">2013-03-30T22:42:53Z</dcterms:modified>
</cp:coreProperties>
</file>